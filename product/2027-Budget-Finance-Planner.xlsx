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Setup" sheetId="3" state="visible" r:id="rId3"/>
    <sheet xmlns:r="http://schemas.openxmlformats.org/officeDocument/2006/relationships" name="Transactions" sheetId="4" state="visible" r:id="rId4"/>
    <sheet xmlns:r="http://schemas.openxmlformats.org/officeDocument/2006/relationships" name="Savings Goals" sheetId="5" state="visible" r:id="rId5"/>
    <sheet xmlns:r="http://schemas.openxmlformats.org/officeDocument/2006/relationships" name="Debt Payoff" sheetId="6" state="visible" r:id="rId6"/>
    <sheet xmlns:r="http://schemas.openxmlformats.org/officeDocument/2006/relationships" name="Bill Tracker" sheetId="7" state="visible" r:id="rId7"/>
  </sheets>
  <definedNames>
    <definedName name="_xlnm.Print_Area" localSheetId="0">'Start Here'!$A$1:$B$22</definedName>
    <definedName name="_xlnm.Print_Area" localSheetId="1">'Dashboard'!$A$1:$M$43</definedName>
    <definedName name="_xlnm.Print_Area" localSheetId="2">'Setup'!$A$1:$H$32</definedName>
    <definedName name="_xlnm.Print_Area" localSheetId="3">'Transactions'!$A$1:$G$60</definedName>
    <definedName name="_xlnm.Print_Area" localSheetId="4">'Savings Goals'!$A$1:$H$17</definedName>
    <definedName name="_xlnm.Print_Area" localSheetId="5">'Debt Payoff'!$A$1:$I$17</definedName>
    <definedName name="_xlnm.Print_Area" localSheetId="6">'Bill Tracker'!$A$1:$P$20</definedName>
  </definedNames>
  <calcPr calcId="124519" fullCalcOnLoad="1"/>
</workbook>
</file>

<file path=xl/styles.xml><?xml version="1.0" encoding="utf-8"?>
<styleSheet xmlns="http://schemas.openxmlformats.org/spreadsheetml/2006/main">
  <numFmts count="4">
    <numFmt numFmtId="164" formatCode="&quot;$&quot;#,##0.00;[Red]-&quot;$&quot;#,##0.00"/>
    <numFmt numFmtId="165" formatCode="yyyy-mm-dd"/>
    <numFmt numFmtId="166" formatCode="0.0%"/>
    <numFmt numFmtId="167" formatCode="mmm yyyy"/>
  </numFmts>
  <fonts count="14">
    <font>
      <name val="Calibri"/>
      <family val="2"/>
      <color theme="1"/>
      <sz val="11"/>
      <scheme val="minor"/>
    </font>
    <font>
      <name val="Georgia"/>
      <b val="1"/>
      <color rgb="002F6B4F"/>
      <sz val="22"/>
    </font>
    <font>
      <name val="Calibri"/>
      <i val="1"/>
      <color rgb="006B7A71"/>
      <sz val="11"/>
    </font>
    <font>
      <name val="Georgia"/>
      <b val="1"/>
      <color rgb="002F6B4F"/>
      <sz val="13"/>
    </font>
    <font>
      <name val="Calibri"/>
      <color rgb="001F2A24"/>
      <sz val="11"/>
    </font>
    <font>
      <i val="1"/>
      <color rgb="006B7A71"/>
      <sz val="9"/>
    </font>
    <font>
      <name val="Calibri"/>
      <b val="1"/>
      <color rgb="001F2A24"/>
    </font>
    <font>
      <name val="Calibri"/>
      <color rgb="001F2A24"/>
    </font>
    <font>
      <name val="Calibri"/>
      <b val="1"/>
      <color rgb="00FFFFFF"/>
      <sz val="11"/>
    </font>
    <font>
      <color rgb="006B7A71"/>
      <sz val="9"/>
    </font>
    <font>
      <i val="1"/>
      <color rgb="006B7A71"/>
    </font>
    <font>
      <color rgb="001F2A24"/>
    </font>
    <font>
      <color rgb="006B7A71"/>
    </font>
    <font>
      <name val="Calibri"/>
      <b val="1"/>
      <color rgb="00FFFFFF"/>
    </font>
  </fonts>
  <fills count="6">
    <fill>
      <patternFill/>
    </fill>
    <fill>
      <patternFill patternType="gray125"/>
    </fill>
    <fill>
      <patternFill patternType="solid">
        <fgColor rgb="00FAF7F0"/>
      </patternFill>
    </fill>
    <fill>
      <patternFill patternType="solid">
        <fgColor rgb="00E3F0E8"/>
      </patternFill>
    </fill>
    <fill>
      <patternFill patternType="solid">
        <fgColor rgb="00FFFFFF"/>
      </patternFill>
    </fill>
    <fill>
      <patternFill patternType="solid">
        <fgColor rgb="002F6B4F"/>
      </patternFill>
    </fill>
  </fills>
  <borders count="2">
    <border>
      <left/>
      <right/>
      <top/>
      <bottom/>
      <diagonal/>
    </border>
    <border>
      <left style="thin">
        <color rgb="00D9D4C7"/>
      </left>
      <right style="thin">
        <color rgb="00D9D4C7"/>
      </right>
      <top style="thin">
        <color rgb="00D9D4C7"/>
      </top>
      <bottom style="thin">
        <color rgb="00D9D4C7"/>
      </bottom>
    </border>
  </borders>
  <cellStyleXfs count="1">
    <xf numFmtId="0" fontId="0" fillId="0" borderId="0"/>
  </cellStyleXfs>
  <cellXfs count="37">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2" borderId="0" pivotButton="0" quotePrefix="0" xfId="0"/>
    <xf numFmtId="0" fontId="4" fillId="2" borderId="0" applyAlignment="1" pivotButton="0" quotePrefix="0" xfId="0">
      <alignment vertical="top" wrapText="1"/>
    </xf>
    <xf numFmtId="0" fontId="5" fillId="2" borderId="0" pivotButton="0" quotePrefix="0" xfId="0"/>
    <xf numFmtId="0" fontId="13" fillId="5" borderId="1" applyAlignment="1" pivotButton="0" quotePrefix="0" xfId="0">
      <alignment horizontal="center"/>
    </xf>
    <xf numFmtId="164" fontId="3" fillId="3" borderId="1" applyAlignment="1" pivotButton="0" quotePrefix="0" xfId="0">
      <alignment horizontal="center"/>
    </xf>
    <xf numFmtId="166" fontId="3" fillId="3" borderId="1" applyAlignment="1" pivotButton="0" quotePrefix="0" xfId="0">
      <alignment horizontal="center"/>
    </xf>
    <xf numFmtId="0" fontId="8" fillId="5" borderId="1" applyAlignment="1" pivotButton="0" quotePrefix="0" xfId="0">
      <alignment horizontal="center" vertical="center" wrapText="1"/>
    </xf>
    <xf numFmtId="0" fontId="6" fillId="3" borderId="1" pivotButton="0" quotePrefix="0" xfId="0"/>
    <xf numFmtId="164" fontId="7" fillId="3" borderId="1" pivotButton="0" quotePrefix="0" xfId="0"/>
    <xf numFmtId="166" fontId="7" fillId="3" borderId="1" pivotButton="0" quotePrefix="0" xfId="0"/>
    <xf numFmtId="0" fontId="7" fillId="3" borderId="1" pivotButton="0" quotePrefix="0" xfId="0"/>
    <xf numFmtId="0" fontId="13" fillId="5" borderId="1" pivotButton="0" quotePrefix="0" xfId="0"/>
    <xf numFmtId="164" fontId="6" fillId="3" borderId="1" pivotButton="0" quotePrefix="0" xfId="0"/>
    <xf numFmtId="166" fontId="6" fillId="3" borderId="1" pivotButton="0" quotePrefix="0" xfId="0"/>
    <xf numFmtId="164" fontId="7" fillId="4" borderId="1" pivotButton="0" quotePrefix="0" xfId="0"/>
    <xf numFmtId="0" fontId="9" fillId="2" borderId="0" pivotButton="0" quotePrefix="0" xfId="0"/>
    <xf numFmtId="0" fontId="7" fillId="4" borderId="1" pivotButton="0" quotePrefix="0" xfId="0"/>
    <xf numFmtId="0" fontId="1" fillId="0" borderId="0" pivotButton="0" quotePrefix="0" xfId="0"/>
    <xf numFmtId="0" fontId="10" fillId="0" borderId="0" pivotButton="0" quotePrefix="0" xfId="0"/>
    <xf numFmtId="165" fontId="11" fillId="0" borderId="1" pivotButton="0" quotePrefix="0" xfId="0"/>
    <xf numFmtId="0" fontId="11" fillId="0" borderId="1" pivotButton="0" quotePrefix="0" xfId="0"/>
    <xf numFmtId="0" fontId="12" fillId="3" borderId="1" pivotButton="0" quotePrefix="0" xfId="0"/>
    <xf numFmtId="164" fontId="11" fillId="0" borderId="1" pivotButton="0" quotePrefix="0" xfId="0"/>
    <xf numFmtId="165" fontId="7" fillId="4" borderId="1" pivotButton="0" quotePrefix="0" xfId="0"/>
    <xf numFmtId="166" fontId="7" fillId="4" borderId="1" pivotButton="0" quotePrefix="0" xfId="0"/>
    <xf numFmtId="1" fontId="7" fillId="3" borderId="1" applyAlignment="1" pivotButton="0" quotePrefix="0" xfId="0">
      <alignment horizontal="center"/>
    </xf>
    <xf numFmtId="167" fontId="7" fillId="3" borderId="1" applyAlignment="1" pivotButton="0" quotePrefix="0" xfId="0">
      <alignment horizontal="center"/>
    </xf>
    <xf numFmtId="1" fontId="6" fillId="3" borderId="1" applyAlignment="1" pivotButton="0" quotePrefix="0" xfId="0">
      <alignment horizontal="center"/>
    </xf>
    <xf numFmtId="167" fontId="6" fillId="3" borderId="1" applyAlignment="1" pivotButton="0" quotePrefix="0" xfId="0">
      <alignment horizontal="center"/>
    </xf>
    <xf numFmtId="0" fontId="10" fillId="2" borderId="0" pivotButton="0" quotePrefix="0" xfId="0"/>
    <xf numFmtId="0" fontId="0" fillId="4" borderId="1" pivotButton="0" quotePrefix="0" xfId="0"/>
    <xf numFmtId="164" fontId="0" fillId="4" borderId="1" pivotButton="0" quotePrefix="0" xfId="0"/>
    <xf numFmtId="0" fontId="0" fillId="4" borderId="1" applyAlignment="1" pivotButton="0" quotePrefix="0" xfId="0">
      <alignment horizontal="center"/>
    </xf>
  </cellXfs>
  <cellStyles count="1">
    <cellStyle name="Normal" xfId="0" builtinId="0" hidden="0"/>
  </cellStyles>
  <dxfs count="4">
    <dxf>
      <font>
        <color rgb="00B3412F"/>
      </font>
      <fill>
        <patternFill patternType="solid">
          <fgColor rgb="00F8D7D3"/>
        </patternFill>
      </fill>
    </dxf>
    <dxf>
      <font>
        <b val="1"/>
        <color rgb="00B3412F"/>
      </font>
      <fill>
        <patternFill patternType="solid">
          <fgColor rgb="00F8D7D3"/>
        </patternFill>
      </fill>
    </dxf>
    <dxf>
      <fill>
        <patternFill patternType="solid">
          <fgColor rgb="00E3F0E8"/>
        </patternFill>
      </fill>
    </dxf>
    <dxf>
      <font>
        <b val="1"/>
        <color rgb="00FFFFFF"/>
      </font>
      <fill>
        <patternFill patternType="solid">
          <fgColor rgb="007FB39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Income vs. Expenses</a:t>
            </a:r>
          </a:p>
        </rich>
      </tx>
    </title>
    <plotArea>
      <barChart>
        <barDir val="col"/>
        <grouping val="clustered"/>
        <ser>
          <idx val="0"/>
          <order val="0"/>
          <tx>
            <strRef>
              <f>'Dashboard'!C7</f>
            </strRef>
          </tx>
          <spPr>
            <a:solidFill xmlns:a="http://schemas.openxmlformats.org/drawingml/2006/main">
              <a:srgbClr val="2F6B4F"/>
            </a:solidFill>
            <a:ln xmlns:a="http://schemas.openxmlformats.org/drawingml/2006/main">
              <a:prstDash val="solid"/>
            </a:ln>
          </spPr>
          <cat>
            <numRef>
              <f>'Dashboard'!$B$8:$B$19</f>
            </numRef>
          </cat>
          <val>
            <numRef>
              <f>'Dashboard'!$C$8:$C$19</f>
            </numRef>
          </val>
        </ser>
        <ser>
          <idx val="1"/>
          <order val="1"/>
          <tx>
            <strRef>
              <f>'Dashboard'!D7</f>
            </strRef>
          </tx>
          <spPr>
            <a:solidFill xmlns:a="http://schemas.openxmlformats.org/drawingml/2006/main">
              <a:srgbClr val="C9A227"/>
            </a:solidFill>
            <a:ln xmlns:a="http://schemas.openxmlformats.org/drawingml/2006/main">
              <a:prstDash val="solid"/>
            </a:ln>
          </spPr>
          <cat>
            <numRef>
              <f>'Dashboard'!$B$8:$B$19</f>
            </numRef>
          </cat>
          <val>
            <numRef>
              <f>'Dashboard'!$D$8:$D$19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Where the money goes</a:t>
            </a:r>
          </a:p>
        </rich>
      </tx>
    </title>
    <plotArea>
      <pieChart>
        <varyColors val="1"/>
        <ser>
          <idx val="0"/>
          <order val="0"/>
          <tx>
            <strRef>
              <f>'Dashboard'!K7</f>
            </strRef>
          </tx>
          <spPr>
            <a:ln xmlns:a="http://schemas.openxmlformats.org/drawingml/2006/main">
              <a:prstDash val="solid"/>
            </a:ln>
          </spPr>
          <cat>
            <numRef>
              <f>'Dashboard'!$I$8:$I$25</f>
            </numRef>
          </cat>
          <val>
            <numRef>
              <f>'Dashboard'!$K$8:$K$25</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22</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27</row>
      <rowOff>0</rowOff>
    </from>
    <ext cx="432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2F6B4F"/>
    <outlinePr summaryBelow="1" summaryRight="1"/>
    <pageSetUpPr fitToPage="1"/>
  </sheetPr>
  <dimension ref="A1:T60"/>
  <sheetViews>
    <sheetView showGridLines="0" workbookViewId="0">
      <selection activeCell="A1" sqref="A1"/>
    </sheetView>
  </sheetViews>
  <sheetFormatPr baseColWidth="8" defaultRowHeight="15"/>
  <cols>
    <col width="3" customWidth="1" min="1" max="1"/>
    <col width="100" customWidth="1" min="2" max="2"/>
  </cols>
  <sheetData>
    <row r="1" ht="36" customHeight="1">
      <c r="A1" s="1" t="n"/>
      <c r="B1" s="2" t="inlineStr">
        <is>
          <t>Your 2027 Budget &amp; Finance Planner</t>
        </is>
      </c>
      <c r="C1" s="1" t="n"/>
      <c r="D1" s="1" t="n"/>
      <c r="E1" s="1" t="n"/>
      <c r="F1" s="1" t="n"/>
      <c r="G1" s="1" t="n"/>
      <c r="H1" s="1" t="n"/>
      <c r="I1" s="1" t="n"/>
      <c r="J1" s="1" t="n"/>
      <c r="K1" s="1" t="n"/>
      <c r="L1" s="1" t="n"/>
      <c r="M1" s="1" t="n"/>
      <c r="N1" s="1" t="n"/>
      <c r="O1" s="1" t="n"/>
      <c r="P1" s="1" t="n"/>
      <c r="Q1" s="1" t="n"/>
      <c r="R1" s="1" t="n"/>
      <c r="S1" s="1" t="n"/>
      <c r="T1" s="1" t="n"/>
    </row>
    <row r="2">
      <c r="A2" s="1" t="n"/>
      <c r="B2" s="3" t="inlineStr">
        <is>
          <t>Take control of every dollar - in 10 minutes a week.</t>
        </is>
      </c>
      <c r="C2" s="1" t="n"/>
      <c r="D2" s="1" t="n"/>
      <c r="E2" s="1" t="n"/>
      <c r="F2" s="1" t="n"/>
      <c r="G2" s="1" t="n"/>
      <c r="H2" s="1" t="n"/>
      <c r="I2" s="1" t="n"/>
      <c r="J2" s="1" t="n"/>
      <c r="K2" s="1" t="n"/>
      <c r="L2" s="1" t="n"/>
      <c r="M2" s="1" t="n"/>
      <c r="N2" s="1" t="n"/>
      <c r="O2" s="1" t="n"/>
      <c r="P2" s="1" t="n"/>
      <c r="Q2" s="1" t="n"/>
      <c r="R2" s="1" t="n"/>
      <c r="S2" s="1" t="n"/>
      <c r="T2" s="1" t="n"/>
    </row>
    <row r="3">
      <c r="A3" s="1" t="n"/>
      <c r="B3" s="1" t="n"/>
      <c r="C3" s="1" t="n"/>
      <c r="D3" s="1" t="n"/>
      <c r="E3" s="1" t="n"/>
      <c r="F3" s="1" t="n"/>
      <c r="G3" s="1" t="n"/>
      <c r="H3" s="1" t="n"/>
      <c r="I3" s="1" t="n"/>
      <c r="J3" s="1" t="n"/>
      <c r="K3" s="1" t="n"/>
      <c r="L3" s="1" t="n"/>
      <c r="M3" s="1" t="n"/>
      <c r="N3" s="1" t="n"/>
      <c r="O3" s="1" t="n"/>
      <c r="P3" s="1" t="n"/>
      <c r="Q3" s="1" t="n"/>
      <c r="R3" s="1" t="n"/>
      <c r="S3" s="1" t="n"/>
      <c r="T3" s="1" t="n"/>
    </row>
    <row r="4">
      <c r="A4" s="1" t="n"/>
      <c r="B4" s="4" t="inlineStr">
        <is>
          <t>1. SETUP</t>
        </is>
      </c>
      <c r="C4" s="1" t="n"/>
      <c r="D4" s="1" t="n"/>
      <c r="E4" s="1" t="n"/>
      <c r="F4" s="1" t="n"/>
      <c r="G4" s="1" t="n"/>
      <c r="H4" s="1" t="n"/>
      <c r="I4" s="1" t="n"/>
      <c r="J4" s="1" t="n"/>
      <c r="K4" s="1" t="n"/>
      <c r="L4" s="1" t="n"/>
      <c r="M4" s="1" t="n"/>
      <c r="N4" s="1" t="n"/>
      <c r="O4" s="1" t="n"/>
      <c r="P4" s="1" t="n"/>
      <c r="Q4" s="1" t="n"/>
      <c r="R4" s="1" t="n"/>
      <c r="S4" s="1" t="n"/>
      <c r="T4" s="1" t="n"/>
    </row>
    <row r="5" ht="34" customHeight="1">
      <c r="A5" s="1" t="n"/>
      <c r="B5" s="5" t="inlineStr">
        <is>
          <t>Open the 'Setup' tab. Enter your starting balance and your monthly budget for each category. Rename any category to fit your life - the whole workbook updates automatically.</t>
        </is>
      </c>
      <c r="C5" s="1" t="n"/>
      <c r="D5" s="1" t="n"/>
      <c r="E5" s="1" t="n"/>
      <c r="F5" s="1" t="n"/>
      <c r="G5" s="1" t="n"/>
      <c r="H5" s="1" t="n"/>
      <c r="I5" s="1" t="n"/>
      <c r="J5" s="1" t="n"/>
      <c r="K5" s="1" t="n"/>
      <c r="L5" s="1" t="n"/>
      <c r="M5" s="1" t="n"/>
      <c r="N5" s="1" t="n"/>
      <c r="O5" s="1" t="n"/>
      <c r="P5" s="1" t="n"/>
      <c r="Q5" s="1" t="n"/>
      <c r="R5" s="1" t="n"/>
      <c r="S5" s="1" t="n"/>
      <c r="T5" s="1" t="n"/>
    </row>
    <row r="6">
      <c r="A6" s="1" t="n"/>
      <c r="B6" s="1" t="n"/>
      <c r="C6" s="1" t="n"/>
      <c r="D6" s="1" t="n"/>
      <c r="E6" s="1" t="n"/>
      <c r="F6" s="1" t="n"/>
      <c r="G6" s="1" t="n"/>
      <c r="H6" s="1" t="n"/>
      <c r="I6" s="1" t="n"/>
      <c r="J6" s="1" t="n"/>
      <c r="K6" s="1" t="n"/>
      <c r="L6" s="1" t="n"/>
      <c r="M6" s="1" t="n"/>
      <c r="N6" s="1" t="n"/>
      <c r="O6" s="1" t="n"/>
      <c r="P6" s="1" t="n"/>
      <c r="Q6" s="1" t="n"/>
      <c r="R6" s="1" t="n"/>
      <c r="S6" s="1" t="n"/>
      <c r="T6" s="1" t="n"/>
    </row>
    <row r="7">
      <c r="A7" s="1" t="n"/>
      <c r="B7" s="4" t="inlineStr">
        <is>
          <t>2. LOG</t>
        </is>
      </c>
      <c r="C7" s="1" t="n"/>
      <c r="D7" s="1" t="n"/>
      <c r="E7" s="1" t="n"/>
      <c r="F7" s="1" t="n"/>
      <c r="G7" s="1" t="n"/>
      <c r="H7" s="1" t="n"/>
      <c r="I7" s="1" t="n"/>
      <c r="J7" s="1" t="n"/>
      <c r="K7" s="1" t="n"/>
      <c r="L7" s="1" t="n"/>
      <c r="M7" s="1" t="n"/>
      <c r="N7" s="1" t="n"/>
      <c r="O7" s="1" t="n"/>
      <c r="P7" s="1" t="n"/>
      <c r="Q7" s="1" t="n"/>
      <c r="R7" s="1" t="n"/>
      <c r="S7" s="1" t="n"/>
      <c r="T7" s="1" t="n"/>
    </row>
    <row r="8" ht="34" customHeight="1">
      <c r="A8" s="1" t="n"/>
      <c r="B8" s="5" t="inlineStr">
        <is>
          <t>Each time you earn or spend, add a row on the 'Transactions' tab: date, description, pick a category from the dropdown, and the amount. The Type column fills itself in.</t>
        </is>
      </c>
      <c r="C8" s="1" t="n"/>
      <c r="D8" s="1" t="n"/>
      <c r="E8" s="1" t="n"/>
      <c r="F8" s="1" t="n"/>
      <c r="G8" s="1" t="n"/>
      <c r="H8" s="1" t="n"/>
      <c r="I8" s="1" t="n"/>
      <c r="J8" s="1" t="n"/>
      <c r="K8" s="1" t="n"/>
      <c r="L8" s="1" t="n"/>
      <c r="M8" s="1" t="n"/>
      <c r="N8" s="1" t="n"/>
      <c r="O8" s="1" t="n"/>
      <c r="P8" s="1" t="n"/>
      <c r="Q8" s="1" t="n"/>
      <c r="R8" s="1" t="n"/>
      <c r="S8" s="1" t="n"/>
      <c r="T8" s="1" t="n"/>
    </row>
    <row r="9">
      <c r="A9" s="1" t="n"/>
      <c r="B9" s="1" t="n"/>
      <c r="C9" s="1" t="n"/>
      <c r="D9" s="1" t="n"/>
      <c r="E9" s="1" t="n"/>
      <c r="F9" s="1" t="n"/>
      <c r="G9" s="1" t="n"/>
      <c r="H9" s="1" t="n"/>
      <c r="I9" s="1" t="n"/>
      <c r="J9" s="1" t="n"/>
      <c r="K9" s="1" t="n"/>
      <c r="L9" s="1" t="n"/>
      <c r="M9" s="1" t="n"/>
      <c r="N9" s="1" t="n"/>
      <c r="O9" s="1" t="n"/>
      <c r="P9" s="1" t="n"/>
      <c r="Q9" s="1" t="n"/>
      <c r="R9" s="1" t="n"/>
      <c r="S9" s="1" t="n"/>
      <c r="T9" s="1" t="n"/>
    </row>
    <row r="10">
      <c r="A10" s="1" t="n"/>
      <c r="B10" s="4" t="inlineStr">
        <is>
          <t>3. REVIEW</t>
        </is>
      </c>
      <c r="C10" s="1" t="n"/>
      <c r="D10" s="1" t="n"/>
      <c r="E10" s="1" t="n"/>
      <c r="F10" s="1" t="n"/>
      <c r="G10" s="1" t="n"/>
      <c r="H10" s="1" t="n"/>
      <c r="I10" s="1" t="n"/>
      <c r="J10" s="1" t="n"/>
      <c r="K10" s="1" t="n"/>
      <c r="L10" s="1" t="n"/>
      <c r="M10" s="1" t="n"/>
      <c r="N10" s="1" t="n"/>
      <c r="O10" s="1" t="n"/>
      <c r="P10" s="1" t="n"/>
      <c r="Q10" s="1" t="n"/>
      <c r="R10" s="1" t="n"/>
      <c r="S10" s="1" t="n"/>
      <c r="T10" s="1" t="n"/>
    </row>
    <row r="11" ht="34" customHeight="1">
      <c r="A11" s="1" t="n"/>
      <c r="B11" s="5" t="inlineStr">
        <is>
          <t>Check the 'Dashboard' any time: income vs. spending per month, savings rate, and which categories are over budget (highlighted red).</t>
        </is>
      </c>
      <c r="C11" s="1" t="n"/>
      <c r="D11" s="1" t="n"/>
      <c r="E11" s="1" t="n"/>
      <c r="F11" s="1" t="n"/>
      <c r="G11" s="1" t="n"/>
      <c r="H11" s="1" t="n"/>
      <c r="I11" s="1" t="n"/>
      <c r="J11" s="1" t="n"/>
      <c r="K11" s="1" t="n"/>
      <c r="L11" s="1" t="n"/>
      <c r="M11" s="1" t="n"/>
      <c r="N11" s="1" t="n"/>
      <c r="O11" s="1" t="n"/>
      <c r="P11" s="1" t="n"/>
      <c r="Q11" s="1" t="n"/>
      <c r="R11" s="1" t="n"/>
      <c r="S11" s="1" t="n"/>
      <c r="T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row>
    <row r="13">
      <c r="A13" s="1" t="n"/>
      <c r="B13" s="4" t="inlineStr">
        <is>
          <t>4. GROW</t>
        </is>
      </c>
      <c r="C13" s="1" t="n"/>
      <c r="D13" s="1" t="n"/>
      <c r="E13" s="1" t="n"/>
      <c r="F13" s="1" t="n"/>
      <c r="G13" s="1" t="n"/>
      <c r="H13" s="1" t="n"/>
      <c r="I13" s="1" t="n"/>
      <c r="J13" s="1" t="n"/>
      <c r="K13" s="1" t="n"/>
      <c r="L13" s="1" t="n"/>
      <c r="M13" s="1" t="n"/>
      <c r="N13" s="1" t="n"/>
      <c r="O13" s="1" t="n"/>
      <c r="P13" s="1" t="n"/>
      <c r="Q13" s="1" t="n"/>
      <c r="R13" s="1" t="n"/>
      <c r="S13" s="1" t="n"/>
      <c r="T13" s="1" t="n"/>
    </row>
    <row r="14" ht="34" customHeight="1">
      <c r="A14" s="1" t="n"/>
      <c r="B14" s="5" t="inlineStr">
        <is>
          <t>Track big goals on 'Savings Goals' (it tells you how much to save per month) and plan your way out of debt on 'Debt Payoff' (it tells you how many months until you're free).</t>
        </is>
      </c>
      <c r="C14" s="1" t="n"/>
      <c r="D14" s="1" t="n"/>
      <c r="E14" s="1" t="n"/>
      <c r="F14" s="1" t="n"/>
      <c r="G14" s="1" t="n"/>
      <c r="H14" s="1" t="n"/>
      <c r="I14" s="1" t="n"/>
      <c r="J14" s="1" t="n"/>
      <c r="K14" s="1" t="n"/>
      <c r="L14" s="1" t="n"/>
      <c r="M14" s="1" t="n"/>
      <c r="N14" s="1" t="n"/>
      <c r="O14" s="1" t="n"/>
      <c r="P14" s="1" t="n"/>
      <c r="Q14" s="1" t="n"/>
      <c r="R14" s="1" t="n"/>
      <c r="S14" s="1" t="n"/>
      <c r="T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row>
    <row r="16">
      <c r="A16" s="1" t="n"/>
      <c r="B16" s="4" t="inlineStr">
        <is>
          <t>TIPS</t>
        </is>
      </c>
      <c r="C16" s="1" t="n"/>
      <c r="D16" s="1" t="n"/>
      <c r="E16" s="1" t="n"/>
      <c r="F16" s="1" t="n"/>
      <c r="G16" s="1" t="n"/>
      <c r="H16" s="1" t="n"/>
      <c r="I16" s="1" t="n"/>
      <c r="J16" s="1" t="n"/>
      <c r="K16" s="1" t="n"/>
      <c r="L16" s="1" t="n"/>
      <c r="M16" s="1" t="n"/>
      <c r="N16" s="1" t="n"/>
      <c r="O16" s="1" t="n"/>
      <c r="P16" s="1" t="n"/>
      <c r="Q16" s="1" t="n"/>
      <c r="R16" s="1" t="n"/>
      <c r="S16" s="1" t="n"/>
      <c r="T16" s="1" t="n"/>
    </row>
    <row r="17" ht="34" customHeight="1">
      <c r="A17" s="1" t="n"/>
      <c r="B17" s="5" t="inlineStr">
        <is>
          <t>Only edit WHITE cells. Shaded cells contain formulas. Works in Microsoft Excel, Google Sheets (File &gt; Import), Apple Numbers and LibreOffice. Make a copy each year!</t>
        </is>
      </c>
      <c r="C17" s="1" t="n"/>
      <c r="D17" s="1" t="n"/>
      <c r="E17" s="1" t="n"/>
      <c r="F17" s="1" t="n"/>
      <c r="G17" s="1" t="n"/>
      <c r="H17" s="1" t="n"/>
      <c r="I17" s="1" t="n"/>
      <c r="J17" s="1" t="n"/>
      <c r="K17" s="1" t="n"/>
      <c r="L17" s="1" t="n"/>
      <c r="M17" s="1" t="n"/>
      <c r="N17" s="1" t="n"/>
      <c r="O17" s="1" t="n"/>
      <c r="P17" s="1" t="n"/>
      <c r="Q17" s="1" t="n"/>
      <c r="R17" s="1" t="n"/>
      <c r="S17" s="1" t="n"/>
      <c r="T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row>
    <row r="20">
      <c r="A20" s="1" t="n"/>
      <c r="B20" s="6" t="inlineStr">
        <is>
          <t>Thank you for your purchase! Personal use license - please do not resell or redistribute.</t>
        </is>
      </c>
      <c r="C20" s="1" t="n"/>
      <c r="D20" s="1" t="n"/>
      <c r="E20" s="1" t="n"/>
      <c r="F20" s="1" t="n"/>
      <c r="G20" s="1" t="n"/>
      <c r="H20" s="1" t="n"/>
      <c r="I20" s="1" t="n"/>
      <c r="J20" s="1" t="n"/>
      <c r="K20" s="1" t="n"/>
      <c r="L20" s="1" t="n"/>
      <c r="M20" s="1" t="n"/>
      <c r="N20" s="1" t="n"/>
      <c r="O20" s="1" t="n"/>
      <c r="P20" s="1" t="n"/>
      <c r="Q20" s="1" t="n"/>
      <c r="R20" s="1" t="n"/>
      <c r="S20" s="1" t="n"/>
      <c r="T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row>
  </sheetData>
  <pageMargins left="0.75" right="0.75" top="1" bottom="1" header="0.5" footer="0.5"/>
  <pageSetup orientation="landscape" fitToHeight="1" fitToWidth="1"/>
</worksheet>
</file>

<file path=xl/worksheets/sheet2.xml><?xml version="1.0" encoding="utf-8"?>
<worksheet xmlns="http://schemas.openxmlformats.org/spreadsheetml/2006/main">
  <sheetPr>
    <tabColor rgb="002F6B4F"/>
    <outlinePr summaryBelow="1" summaryRight="1"/>
    <pageSetUpPr fitToPage="1"/>
  </sheetPr>
  <dimension ref="A1:T60"/>
  <sheetViews>
    <sheetView showGridLines="0" workbookViewId="0">
      <selection activeCell="A1" sqref="A1"/>
    </sheetView>
  </sheetViews>
  <sheetFormatPr baseColWidth="8" defaultRowHeight="15"/>
  <cols>
    <col width="3" customWidth="1" min="1" max="1"/>
    <col width="22" customWidth="1" min="2" max="2"/>
    <col width="17" customWidth="1" min="3" max="3"/>
    <col width="17" customWidth="1" min="4" max="4"/>
    <col width="17" customWidth="1" min="5" max="5"/>
    <col width="17" customWidth="1" min="6" max="6"/>
    <col width="17" customWidth="1" min="7" max="7"/>
    <col width="4" customWidth="1" min="8" max="8"/>
    <col width="22" customWidth="1" min="9" max="9"/>
    <col width="14" customWidth="1" min="10" max="10"/>
    <col width="14" customWidth="1" min="11" max="11"/>
    <col width="14" customWidth="1" min="12" max="12"/>
    <col width="12" customWidth="1" min="13" max="13"/>
  </cols>
  <sheetData>
    <row r="1" ht="36" customHeight="1">
      <c r="A1" s="1" t="n"/>
      <c r="B1" s="2" t="inlineStr">
        <is>
          <t>2027 Dashboard</t>
        </is>
      </c>
      <c r="C1" s="1" t="n"/>
      <c r="D1" s="1" t="n"/>
      <c r="E1" s="1" t="n"/>
      <c r="F1" s="1" t="n"/>
      <c r="G1" s="1" t="n"/>
      <c r="H1" s="1" t="n"/>
      <c r="I1" s="1" t="n"/>
      <c r="J1" s="1" t="n"/>
      <c r="K1" s="1" t="n"/>
      <c r="L1" s="1" t="n"/>
      <c r="M1" s="1" t="n"/>
      <c r="N1" s="1" t="n"/>
      <c r="O1" s="1" t="n"/>
      <c r="P1" s="1" t="n"/>
      <c r="Q1" s="1" t="n"/>
      <c r="R1" s="1" t="n"/>
      <c r="S1" s="1" t="n"/>
      <c r="T1" s="1" t="n"/>
    </row>
    <row r="2">
      <c r="A2" s="1" t="n"/>
      <c r="B2" s="3" t="inlineStr">
        <is>
          <t>Updates automatically from your Transactions.</t>
        </is>
      </c>
      <c r="C2" s="1" t="n"/>
      <c r="D2" s="1" t="n"/>
      <c r="E2" s="1" t="n"/>
      <c r="F2" s="1" t="n"/>
      <c r="G2" s="1" t="n"/>
      <c r="H2" s="1" t="n"/>
      <c r="I2" s="1" t="n"/>
      <c r="J2" s="1" t="n"/>
      <c r="K2" s="1" t="n"/>
      <c r="L2" s="1" t="n"/>
      <c r="M2" s="1" t="n"/>
      <c r="N2" s="1" t="n"/>
      <c r="O2" s="1" t="n"/>
      <c r="P2" s="1" t="n"/>
      <c r="Q2" s="1" t="n"/>
      <c r="R2" s="1" t="n"/>
      <c r="S2" s="1" t="n"/>
      <c r="T2" s="1" t="n"/>
    </row>
    <row r="3">
      <c r="A3" s="1" t="n"/>
      <c r="B3" s="1" t="n"/>
      <c r="C3" s="1" t="n"/>
      <c r="D3" s="1" t="n"/>
      <c r="E3" s="1" t="n"/>
      <c r="F3" s="1" t="n"/>
      <c r="G3" s="1" t="n"/>
      <c r="H3" s="1" t="n"/>
      <c r="I3" s="1" t="n"/>
      <c r="J3" s="1" t="n"/>
      <c r="K3" s="1" t="n"/>
      <c r="L3" s="1" t="n"/>
      <c r="M3" s="1" t="n"/>
      <c r="N3" s="1" t="n"/>
      <c r="O3" s="1" t="n"/>
      <c r="P3" s="1" t="n"/>
      <c r="Q3" s="1" t="n"/>
      <c r="R3" s="1" t="n"/>
      <c r="S3" s="1" t="n"/>
      <c r="T3" s="1" t="n"/>
    </row>
    <row r="4">
      <c r="A4" s="1" t="n"/>
      <c r="B4" s="7" t="inlineStr">
        <is>
          <t>Total income</t>
        </is>
      </c>
      <c r="C4" s="7" t="inlineStr">
        <is>
          <t>Total spent</t>
        </is>
      </c>
      <c r="D4" s="7" t="inlineStr">
        <is>
          <t>Net saved</t>
        </is>
      </c>
      <c r="E4" s="7" t="inlineStr">
        <is>
          <t>Savings rate</t>
        </is>
      </c>
      <c r="F4" s="7" t="inlineStr">
        <is>
          <t>Balance now</t>
        </is>
      </c>
      <c r="G4" s="1" t="n"/>
      <c r="H4" s="1" t="n"/>
      <c r="I4" s="1" t="n"/>
      <c r="J4" s="1" t="n"/>
      <c r="K4" s="1" t="n"/>
      <c r="L4" s="1" t="n"/>
      <c r="M4" s="1" t="n"/>
      <c r="N4" s="1" t="n"/>
      <c r="O4" s="1" t="n"/>
      <c r="P4" s="1" t="n"/>
      <c r="Q4" s="1" t="n"/>
      <c r="R4" s="1" t="n"/>
      <c r="S4" s="1" t="n"/>
      <c r="T4" s="1" t="n"/>
    </row>
    <row r="5" ht="30" customHeight="1">
      <c r="A5" s="1" t="n"/>
      <c r="B5" s="8">
        <f>SUMIFS(Transactions!$F$5:$F$1004,Transactions!$E$5:$E$1004,"Income")</f>
        <v/>
      </c>
      <c r="C5" s="8">
        <f>SUMIFS(Transactions!$F$5:$F$1004,Transactions!$E$5:$E$1004,"Expense")</f>
        <v/>
      </c>
      <c r="D5" s="8">
        <f>B5-C5</f>
        <v/>
      </c>
      <c r="E5" s="9">
        <f>IF(B5=0,0,D5/B5)</f>
        <v/>
      </c>
      <c r="F5" s="8">
        <f>Setup!C4+D5</f>
        <v/>
      </c>
      <c r="G5" s="1" t="n"/>
      <c r="H5" s="1" t="n"/>
      <c r="I5" s="1" t="n"/>
      <c r="J5" s="1" t="n"/>
      <c r="K5" s="1" t="n"/>
      <c r="L5" s="1" t="n"/>
      <c r="M5" s="1" t="n"/>
      <c r="N5" s="1" t="n"/>
      <c r="O5" s="1" t="n"/>
      <c r="P5" s="1" t="n"/>
      <c r="Q5" s="1" t="n"/>
      <c r="R5" s="1" t="n"/>
      <c r="S5" s="1" t="n"/>
      <c r="T5" s="1" t="n"/>
    </row>
    <row r="6">
      <c r="A6" s="1" t="n"/>
      <c r="B6" s="1" t="n"/>
      <c r="C6" s="1" t="n"/>
      <c r="D6" s="1" t="n"/>
      <c r="E6" s="1" t="n"/>
      <c r="F6" s="1" t="n"/>
      <c r="G6" s="1" t="n"/>
      <c r="H6" s="1" t="n"/>
      <c r="I6" s="6" t="inlineStr">
        <is>
          <t>Budget YTD = monthly budget x months with activity</t>
        </is>
      </c>
      <c r="J6" s="1" t="n"/>
      <c r="K6" s="1" t="n"/>
      <c r="L6" s="1" t="n"/>
      <c r="M6" s="1" t="n"/>
      <c r="N6" s="1" t="n"/>
      <c r="O6" s="1" t="n"/>
      <c r="P6" s="1" t="n"/>
      <c r="Q6" s="1" t="n"/>
      <c r="R6" s="1" t="n"/>
      <c r="S6" s="1" t="n"/>
      <c r="T6" s="1" t="n"/>
    </row>
    <row r="7" ht="22" customHeight="1">
      <c r="A7" s="1" t="n"/>
      <c r="B7" s="10" t="inlineStr">
        <is>
          <t>Month</t>
        </is>
      </c>
      <c r="C7" s="10" t="inlineStr">
        <is>
          <t>Income</t>
        </is>
      </c>
      <c r="D7" s="10" t="inlineStr">
        <is>
          <t>Expenses</t>
        </is>
      </c>
      <c r="E7" s="10" t="inlineStr">
        <is>
          <t>Net</t>
        </is>
      </c>
      <c r="F7" s="10" t="inlineStr">
        <is>
          <t>Savings rate</t>
        </is>
      </c>
      <c r="G7" s="10" t="inlineStr">
        <is>
          <t>Running balance</t>
        </is>
      </c>
      <c r="H7" s="1" t="n"/>
      <c r="I7" s="10" t="inlineStr">
        <is>
          <t>Category</t>
        </is>
      </c>
      <c r="J7" s="10" t="inlineStr">
        <is>
          <t>Budget YTD</t>
        </is>
      </c>
      <c r="K7" s="10" t="inlineStr">
        <is>
          <t>Actual</t>
        </is>
      </c>
      <c r="L7" s="10" t="inlineStr">
        <is>
          <t>Remaining</t>
        </is>
      </c>
      <c r="M7" s="10" t="inlineStr">
        <is>
          <t>% used</t>
        </is>
      </c>
      <c r="N7" s="1" t="n"/>
      <c r="O7" s="1" t="n"/>
      <c r="P7" s="1" t="n"/>
      <c r="Q7" s="1" t="n"/>
      <c r="R7" s="1" t="n"/>
      <c r="S7" s="1" t="n"/>
      <c r="T7" s="1" t="n"/>
    </row>
    <row r="8">
      <c r="A8" s="1" t="n"/>
      <c r="B8" s="11" t="inlineStr">
        <is>
          <t>Jan</t>
        </is>
      </c>
      <c r="C8" s="12">
        <f>SUMIFS(Transactions!$F$5:$F$1004,Transactions!$E$5:$E$1004,"Income",Transactions!$G$5:$G$1004,1)</f>
        <v/>
      </c>
      <c r="D8" s="12">
        <f>SUMIFS(Transactions!$F$5:$F$1004,Transactions!$E$5:$E$1004,"Expense",Transactions!$G$5:$G$1004,1)</f>
        <v/>
      </c>
      <c r="E8" s="12">
        <f>C8-D8</f>
        <v/>
      </c>
      <c r="F8" s="13">
        <f>IF(C8=0,0,E8/C8)</f>
        <v/>
      </c>
      <c r="G8" s="12">
        <f>Setup!$C$4+E8</f>
        <v/>
      </c>
      <c r="H8" s="1" t="n"/>
      <c r="I8" s="14">
        <f>Setup!B8</f>
        <v/>
      </c>
      <c r="J8" s="12">
        <f>Setup!C8*MAX(1,MAX(Transactions!$G$5:$G$1004))</f>
        <v/>
      </c>
      <c r="K8" s="12">
        <f>SUMIFS(Transactions!$F$5:$F$1004,Transactions!$D$5:$D$1004,I8)</f>
        <v/>
      </c>
      <c r="L8" s="12">
        <f>J8-K8</f>
        <v/>
      </c>
      <c r="M8" s="13">
        <f>IF(J8=0,0,K8/J8)</f>
        <v/>
      </c>
      <c r="N8" s="1" t="n"/>
      <c r="O8" s="1" t="n"/>
      <c r="P8" s="1" t="n"/>
      <c r="Q8" s="1" t="n"/>
      <c r="R8" s="1" t="n"/>
      <c r="S8" s="1" t="n"/>
      <c r="T8" s="1" t="n"/>
    </row>
    <row r="9">
      <c r="A9" s="1" t="n"/>
      <c r="B9" s="11" t="inlineStr">
        <is>
          <t>Feb</t>
        </is>
      </c>
      <c r="C9" s="12">
        <f>SUMIFS(Transactions!$F$5:$F$1004,Transactions!$E$5:$E$1004,"Income",Transactions!$G$5:$G$1004,2)</f>
        <v/>
      </c>
      <c r="D9" s="12">
        <f>SUMIFS(Transactions!$F$5:$F$1004,Transactions!$E$5:$E$1004,"Expense",Transactions!$G$5:$G$1004,2)</f>
        <v/>
      </c>
      <c r="E9" s="12">
        <f>C9-D9</f>
        <v/>
      </c>
      <c r="F9" s="13">
        <f>IF(C9=0,0,E9/C9)</f>
        <v/>
      </c>
      <c r="G9" s="12">
        <f>G8+E9</f>
        <v/>
      </c>
      <c r="H9" s="1" t="n"/>
      <c r="I9" s="14">
        <f>Setup!B9</f>
        <v/>
      </c>
      <c r="J9" s="12">
        <f>Setup!C9*MAX(1,MAX(Transactions!$G$5:$G$1004))</f>
        <v/>
      </c>
      <c r="K9" s="12">
        <f>SUMIFS(Transactions!$F$5:$F$1004,Transactions!$D$5:$D$1004,I9)</f>
        <v/>
      </c>
      <c r="L9" s="12">
        <f>J9-K9</f>
        <v/>
      </c>
      <c r="M9" s="13">
        <f>IF(J9=0,0,K9/J9)</f>
        <v/>
      </c>
      <c r="N9" s="1" t="n"/>
      <c r="O9" s="1" t="n"/>
      <c r="P9" s="1" t="n"/>
      <c r="Q9" s="1" t="n"/>
      <c r="R9" s="1" t="n"/>
      <c r="S9" s="1" t="n"/>
      <c r="T9" s="1" t="n"/>
    </row>
    <row r="10">
      <c r="A10" s="1" t="n"/>
      <c r="B10" s="11" t="inlineStr">
        <is>
          <t>Mar</t>
        </is>
      </c>
      <c r="C10" s="12">
        <f>SUMIFS(Transactions!$F$5:$F$1004,Transactions!$E$5:$E$1004,"Income",Transactions!$G$5:$G$1004,3)</f>
        <v/>
      </c>
      <c r="D10" s="12">
        <f>SUMIFS(Transactions!$F$5:$F$1004,Transactions!$E$5:$E$1004,"Expense",Transactions!$G$5:$G$1004,3)</f>
        <v/>
      </c>
      <c r="E10" s="12">
        <f>C10-D10</f>
        <v/>
      </c>
      <c r="F10" s="13">
        <f>IF(C10=0,0,E10/C10)</f>
        <v/>
      </c>
      <c r="G10" s="12">
        <f>G9+E10</f>
        <v/>
      </c>
      <c r="H10" s="1" t="n"/>
      <c r="I10" s="14">
        <f>Setup!B10</f>
        <v/>
      </c>
      <c r="J10" s="12">
        <f>Setup!C10*MAX(1,MAX(Transactions!$G$5:$G$1004))</f>
        <v/>
      </c>
      <c r="K10" s="12">
        <f>SUMIFS(Transactions!$F$5:$F$1004,Transactions!$D$5:$D$1004,I10)</f>
        <v/>
      </c>
      <c r="L10" s="12">
        <f>J10-K10</f>
        <v/>
      </c>
      <c r="M10" s="13">
        <f>IF(J10=0,0,K10/J10)</f>
        <v/>
      </c>
      <c r="N10" s="1" t="n"/>
      <c r="O10" s="1" t="n"/>
      <c r="P10" s="1" t="n"/>
      <c r="Q10" s="1" t="n"/>
      <c r="R10" s="1" t="n"/>
      <c r="S10" s="1" t="n"/>
      <c r="T10" s="1" t="n"/>
    </row>
    <row r="11">
      <c r="A11" s="1" t="n"/>
      <c r="B11" s="11" t="inlineStr">
        <is>
          <t>Apr</t>
        </is>
      </c>
      <c r="C11" s="12">
        <f>SUMIFS(Transactions!$F$5:$F$1004,Transactions!$E$5:$E$1004,"Income",Transactions!$G$5:$G$1004,4)</f>
        <v/>
      </c>
      <c r="D11" s="12">
        <f>SUMIFS(Transactions!$F$5:$F$1004,Transactions!$E$5:$E$1004,"Expense",Transactions!$G$5:$G$1004,4)</f>
        <v/>
      </c>
      <c r="E11" s="12">
        <f>C11-D11</f>
        <v/>
      </c>
      <c r="F11" s="13">
        <f>IF(C11=0,0,E11/C11)</f>
        <v/>
      </c>
      <c r="G11" s="12">
        <f>G10+E11</f>
        <v/>
      </c>
      <c r="H11" s="1" t="n"/>
      <c r="I11" s="14">
        <f>Setup!B11</f>
        <v/>
      </c>
      <c r="J11" s="12">
        <f>Setup!C11*MAX(1,MAX(Transactions!$G$5:$G$1004))</f>
        <v/>
      </c>
      <c r="K11" s="12">
        <f>SUMIFS(Transactions!$F$5:$F$1004,Transactions!$D$5:$D$1004,I11)</f>
        <v/>
      </c>
      <c r="L11" s="12">
        <f>J11-K11</f>
        <v/>
      </c>
      <c r="M11" s="13">
        <f>IF(J11=0,0,K11/J11)</f>
        <v/>
      </c>
      <c r="N11" s="1" t="n"/>
      <c r="O11" s="1" t="n"/>
      <c r="P11" s="1" t="n"/>
      <c r="Q11" s="1" t="n"/>
      <c r="R11" s="1" t="n"/>
      <c r="S11" s="1" t="n"/>
      <c r="T11" s="1" t="n"/>
    </row>
    <row r="12">
      <c r="A12" s="1" t="n"/>
      <c r="B12" s="11" t="inlineStr">
        <is>
          <t>May</t>
        </is>
      </c>
      <c r="C12" s="12">
        <f>SUMIFS(Transactions!$F$5:$F$1004,Transactions!$E$5:$E$1004,"Income",Transactions!$G$5:$G$1004,5)</f>
        <v/>
      </c>
      <c r="D12" s="12">
        <f>SUMIFS(Transactions!$F$5:$F$1004,Transactions!$E$5:$E$1004,"Expense",Transactions!$G$5:$G$1004,5)</f>
        <v/>
      </c>
      <c r="E12" s="12">
        <f>C12-D12</f>
        <v/>
      </c>
      <c r="F12" s="13">
        <f>IF(C12=0,0,E12/C12)</f>
        <v/>
      </c>
      <c r="G12" s="12">
        <f>G11+E12</f>
        <v/>
      </c>
      <c r="H12" s="1" t="n"/>
      <c r="I12" s="14">
        <f>Setup!B12</f>
        <v/>
      </c>
      <c r="J12" s="12">
        <f>Setup!C12*MAX(1,MAX(Transactions!$G$5:$G$1004))</f>
        <v/>
      </c>
      <c r="K12" s="12">
        <f>SUMIFS(Transactions!$F$5:$F$1004,Transactions!$D$5:$D$1004,I12)</f>
        <v/>
      </c>
      <c r="L12" s="12">
        <f>J12-K12</f>
        <v/>
      </c>
      <c r="M12" s="13">
        <f>IF(J12=0,0,K12/J12)</f>
        <v/>
      </c>
      <c r="N12" s="1" t="n"/>
      <c r="O12" s="1" t="n"/>
      <c r="P12" s="1" t="n"/>
      <c r="Q12" s="1" t="n"/>
      <c r="R12" s="1" t="n"/>
      <c r="S12" s="1" t="n"/>
      <c r="T12" s="1" t="n"/>
    </row>
    <row r="13">
      <c r="A13" s="1" t="n"/>
      <c r="B13" s="11" t="inlineStr">
        <is>
          <t>Jun</t>
        </is>
      </c>
      <c r="C13" s="12">
        <f>SUMIFS(Transactions!$F$5:$F$1004,Transactions!$E$5:$E$1004,"Income",Transactions!$G$5:$G$1004,6)</f>
        <v/>
      </c>
      <c r="D13" s="12">
        <f>SUMIFS(Transactions!$F$5:$F$1004,Transactions!$E$5:$E$1004,"Expense",Transactions!$G$5:$G$1004,6)</f>
        <v/>
      </c>
      <c r="E13" s="12">
        <f>C13-D13</f>
        <v/>
      </c>
      <c r="F13" s="13">
        <f>IF(C13=0,0,E13/C13)</f>
        <v/>
      </c>
      <c r="G13" s="12">
        <f>G12+E13</f>
        <v/>
      </c>
      <c r="H13" s="1" t="n"/>
      <c r="I13" s="14">
        <f>Setup!B13</f>
        <v/>
      </c>
      <c r="J13" s="12">
        <f>Setup!C13*MAX(1,MAX(Transactions!$G$5:$G$1004))</f>
        <v/>
      </c>
      <c r="K13" s="12">
        <f>SUMIFS(Transactions!$F$5:$F$1004,Transactions!$D$5:$D$1004,I13)</f>
        <v/>
      </c>
      <c r="L13" s="12">
        <f>J13-K13</f>
        <v/>
      </c>
      <c r="M13" s="13">
        <f>IF(J13=0,0,K13/J13)</f>
        <v/>
      </c>
      <c r="N13" s="1" t="n"/>
      <c r="O13" s="1" t="n"/>
      <c r="P13" s="1" t="n"/>
      <c r="Q13" s="1" t="n"/>
      <c r="R13" s="1" t="n"/>
      <c r="S13" s="1" t="n"/>
      <c r="T13" s="1" t="n"/>
    </row>
    <row r="14">
      <c r="A14" s="1" t="n"/>
      <c r="B14" s="11" t="inlineStr">
        <is>
          <t>Jul</t>
        </is>
      </c>
      <c r="C14" s="12">
        <f>SUMIFS(Transactions!$F$5:$F$1004,Transactions!$E$5:$E$1004,"Income",Transactions!$G$5:$G$1004,7)</f>
        <v/>
      </c>
      <c r="D14" s="12">
        <f>SUMIFS(Transactions!$F$5:$F$1004,Transactions!$E$5:$E$1004,"Expense",Transactions!$G$5:$G$1004,7)</f>
        <v/>
      </c>
      <c r="E14" s="12">
        <f>C14-D14</f>
        <v/>
      </c>
      <c r="F14" s="13">
        <f>IF(C14=0,0,E14/C14)</f>
        <v/>
      </c>
      <c r="G14" s="12">
        <f>G13+E14</f>
        <v/>
      </c>
      <c r="H14" s="1" t="n"/>
      <c r="I14" s="14">
        <f>Setup!B14</f>
        <v/>
      </c>
      <c r="J14" s="12">
        <f>Setup!C14*MAX(1,MAX(Transactions!$G$5:$G$1004))</f>
        <v/>
      </c>
      <c r="K14" s="12">
        <f>SUMIFS(Transactions!$F$5:$F$1004,Transactions!$D$5:$D$1004,I14)</f>
        <v/>
      </c>
      <c r="L14" s="12">
        <f>J14-K14</f>
        <v/>
      </c>
      <c r="M14" s="13">
        <f>IF(J14=0,0,K14/J14)</f>
        <v/>
      </c>
      <c r="N14" s="1" t="n"/>
      <c r="O14" s="1" t="n"/>
      <c r="P14" s="1" t="n"/>
      <c r="Q14" s="1" t="n"/>
      <c r="R14" s="1" t="n"/>
      <c r="S14" s="1" t="n"/>
      <c r="T14" s="1" t="n"/>
    </row>
    <row r="15">
      <c r="A15" s="1" t="n"/>
      <c r="B15" s="11" t="inlineStr">
        <is>
          <t>Aug</t>
        </is>
      </c>
      <c r="C15" s="12">
        <f>SUMIFS(Transactions!$F$5:$F$1004,Transactions!$E$5:$E$1004,"Income",Transactions!$G$5:$G$1004,8)</f>
        <v/>
      </c>
      <c r="D15" s="12">
        <f>SUMIFS(Transactions!$F$5:$F$1004,Transactions!$E$5:$E$1004,"Expense",Transactions!$G$5:$G$1004,8)</f>
        <v/>
      </c>
      <c r="E15" s="12">
        <f>C15-D15</f>
        <v/>
      </c>
      <c r="F15" s="13">
        <f>IF(C15=0,0,E15/C15)</f>
        <v/>
      </c>
      <c r="G15" s="12">
        <f>G14+E15</f>
        <v/>
      </c>
      <c r="H15" s="1" t="n"/>
      <c r="I15" s="14">
        <f>Setup!B15</f>
        <v/>
      </c>
      <c r="J15" s="12">
        <f>Setup!C15*MAX(1,MAX(Transactions!$G$5:$G$1004))</f>
        <v/>
      </c>
      <c r="K15" s="12">
        <f>SUMIFS(Transactions!$F$5:$F$1004,Transactions!$D$5:$D$1004,I15)</f>
        <v/>
      </c>
      <c r="L15" s="12">
        <f>J15-K15</f>
        <v/>
      </c>
      <c r="M15" s="13">
        <f>IF(J15=0,0,K15/J15)</f>
        <v/>
      </c>
      <c r="N15" s="1" t="n"/>
      <c r="O15" s="1" t="n"/>
      <c r="P15" s="1" t="n"/>
      <c r="Q15" s="1" t="n"/>
      <c r="R15" s="1" t="n"/>
      <c r="S15" s="1" t="n"/>
      <c r="T15" s="1" t="n"/>
    </row>
    <row r="16">
      <c r="A16" s="1" t="n"/>
      <c r="B16" s="11" t="inlineStr">
        <is>
          <t>Sep</t>
        </is>
      </c>
      <c r="C16" s="12">
        <f>SUMIFS(Transactions!$F$5:$F$1004,Transactions!$E$5:$E$1004,"Income",Transactions!$G$5:$G$1004,9)</f>
        <v/>
      </c>
      <c r="D16" s="12">
        <f>SUMIFS(Transactions!$F$5:$F$1004,Transactions!$E$5:$E$1004,"Expense",Transactions!$G$5:$G$1004,9)</f>
        <v/>
      </c>
      <c r="E16" s="12">
        <f>C16-D16</f>
        <v/>
      </c>
      <c r="F16" s="13">
        <f>IF(C16=0,0,E16/C16)</f>
        <v/>
      </c>
      <c r="G16" s="12">
        <f>G15+E16</f>
        <v/>
      </c>
      <c r="H16" s="1" t="n"/>
      <c r="I16" s="14">
        <f>Setup!B16</f>
        <v/>
      </c>
      <c r="J16" s="12">
        <f>Setup!C16*MAX(1,MAX(Transactions!$G$5:$G$1004))</f>
        <v/>
      </c>
      <c r="K16" s="12">
        <f>SUMIFS(Transactions!$F$5:$F$1004,Transactions!$D$5:$D$1004,I16)</f>
        <v/>
      </c>
      <c r="L16" s="12">
        <f>J16-K16</f>
        <v/>
      </c>
      <c r="M16" s="13">
        <f>IF(J16=0,0,K16/J16)</f>
        <v/>
      </c>
      <c r="N16" s="1" t="n"/>
      <c r="O16" s="1" t="n"/>
      <c r="P16" s="1" t="n"/>
      <c r="Q16" s="1" t="n"/>
      <c r="R16" s="1" t="n"/>
      <c r="S16" s="1" t="n"/>
      <c r="T16" s="1" t="n"/>
    </row>
    <row r="17">
      <c r="A17" s="1" t="n"/>
      <c r="B17" s="11" t="inlineStr">
        <is>
          <t>Oct</t>
        </is>
      </c>
      <c r="C17" s="12">
        <f>SUMIFS(Transactions!$F$5:$F$1004,Transactions!$E$5:$E$1004,"Income",Transactions!$G$5:$G$1004,10)</f>
        <v/>
      </c>
      <c r="D17" s="12">
        <f>SUMIFS(Transactions!$F$5:$F$1004,Transactions!$E$5:$E$1004,"Expense",Transactions!$G$5:$G$1004,10)</f>
        <v/>
      </c>
      <c r="E17" s="12">
        <f>C17-D17</f>
        <v/>
      </c>
      <c r="F17" s="13">
        <f>IF(C17=0,0,E17/C17)</f>
        <v/>
      </c>
      <c r="G17" s="12">
        <f>G16+E17</f>
        <v/>
      </c>
      <c r="H17" s="1" t="n"/>
      <c r="I17" s="14">
        <f>Setup!B17</f>
        <v/>
      </c>
      <c r="J17" s="12">
        <f>Setup!C17*MAX(1,MAX(Transactions!$G$5:$G$1004))</f>
        <v/>
      </c>
      <c r="K17" s="12">
        <f>SUMIFS(Transactions!$F$5:$F$1004,Transactions!$D$5:$D$1004,I17)</f>
        <v/>
      </c>
      <c r="L17" s="12">
        <f>J17-K17</f>
        <v/>
      </c>
      <c r="M17" s="13">
        <f>IF(J17=0,0,K17/J17)</f>
        <v/>
      </c>
      <c r="N17" s="1" t="n"/>
      <c r="O17" s="1" t="n"/>
      <c r="P17" s="1" t="n"/>
      <c r="Q17" s="1" t="n"/>
      <c r="R17" s="1" t="n"/>
      <c r="S17" s="1" t="n"/>
      <c r="T17" s="1" t="n"/>
    </row>
    <row r="18">
      <c r="A18" s="1" t="n"/>
      <c r="B18" s="11" t="inlineStr">
        <is>
          <t>Nov</t>
        </is>
      </c>
      <c r="C18" s="12">
        <f>SUMIFS(Transactions!$F$5:$F$1004,Transactions!$E$5:$E$1004,"Income",Transactions!$G$5:$G$1004,11)</f>
        <v/>
      </c>
      <c r="D18" s="12">
        <f>SUMIFS(Transactions!$F$5:$F$1004,Transactions!$E$5:$E$1004,"Expense",Transactions!$G$5:$G$1004,11)</f>
        <v/>
      </c>
      <c r="E18" s="12">
        <f>C18-D18</f>
        <v/>
      </c>
      <c r="F18" s="13">
        <f>IF(C18=0,0,E18/C18)</f>
        <v/>
      </c>
      <c r="G18" s="12">
        <f>G17+E18</f>
        <v/>
      </c>
      <c r="H18" s="1" t="n"/>
      <c r="I18" s="14">
        <f>Setup!B18</f>
        <v/>
      </c>
      <c r="J18" s="12">
        <f>Setup!C18*MAX(1,MAX(Transactions!$G$5:$G$1004))</f>
        <v/>
      </c>
      <c r="K18" s="12">
        <f>SUMIFS(Transactions!$F$5:$F$1004,Transactions!$D$5:$D$1004,I18)</f>
        <v/>
      </c>
      <c r="L18" s="12">
        <f>J18-K18</f>
        <v/>
      </c>
      <c r="M18" s="13">
        <f>IF(J18=0,0,K18/J18)</f>
        <v/>
      </c>
      <c r="N18" s="1" t="n"/>
      <c r="O18" s="1" t="n"/>
      <c r="P18" s="1" t="n"/>
      <c r="Q18" s="1" t="n"/>
      <c r="R18" s="1" t="n"/>
      <c r="S18" s="1" t="n"/>
      <c r="T18" s="1" t="n"/>
    </row>
    <row r="19">
      <c r="A19" s="1" t="n"/>
      <c r="B19" s="11" t="inlineStr">
        <is>
          <t>Dec</t>
        </is>
      </c>
      <c r="C19" s="12">
        <f>SUMIFS(Transactions!$F$5:$F$1004,Transactions!$E$5:$E$1004,"Income",Transactions!$G$5:$G$1004,12)</f>
        <v/>
      </c>
      <c r="D19" s="12">
        <f>SUMIFS(Transactions!$F$5:$F$1004,Transactions!$E$5:$E$1004,"Expense",Transactions!$G$5:$G$1004,12)</f>
        <v/>
      </c>
      <c r="E19" s="12">
        <f>C19-D19</f>
        <v/>
      </c>
      <c r="F19" s="13">
        <f>IF(C19=0,0,E19/C19)</f>
        <v/>
      </c>
      <c r="G19" s="12">
        <f>G18+E19</f>
        <v/>
      </c>
      <c r="H19" s="1" t="n"/>
      <c r="I19" s="14">
        <f>Setup!B19</f>
        <v/>
      </c>
      <c r="J19" s="12">
        <f>Setup!C19*MAX(1,MAX(Transactions!$G$5:$G$1004))</f>
        <v/>
      </c>
      <c r="K19" s="12">
        <f>SUMIFS(Transactions!$F$5:$F$1004,Transactions!$D$5:$D$1004,I19)</f>
        <v/>
      </c>
      <c r="L19" s="12">
        <f>J19-K19</f>
        <v/>
      </c>
      <c r="M19" s="13">
        <f>IF(J19=0,0,K19/J19)</f>
        <v/>
      </c>
      <c r="N19" s="1" t="n"/>
      <c r="O19" s="1" t="n"/>
      <c r="P19" s="1" t="n"/>
      <c r="Q19" s="1" t="n"/>
      <c r="R19" s="1" t="n"/>
      <c r="S19" s="1" t="n"/>
      <c r="T19" s="1" t="n"/>
    </row>
    <row r="20">
      <c r="A20" s="1" t="n"/>
      <c r="B20" s="15" t="inlineStr">
        <is>
          <t>TOTAL</t>
        </is>
      </c>
      <c r="C20" s="16">
        <f>SUM(C8:C19)</f>
        <v/>
      </c>
      <c r="D20" s="16">
        <f>SUM(D8:D19)</f>
        <v/>
      </c>
      <c r="E20" s="16">
        <f>SUM(E8:E19)</f>
        <v/>
      </c>
      <c r="F20" s="17">
        <f>IF(C20=0,0,E20/C20)</f>
        <v/>
      </c>
      <c r="G20" s="16">
        <f>G19</f>
        <v/>
      </c>
      <c r="H20" s="1" t="n"/>
      <c r="I20" s="14">
        <f>Setup!B20</f>
        <v/>
      </c>
      <c r="J20" s="12">
        <f>Setup!C20*MAX(1,MAX(Transactions!$G$5:$G$1004))</f>
        <v/>
      </c>
      <c r="K20" s="12">
        <f>SUMIFS(Transactions!$F$5:$F$1004,Transactions!$D$5:$D$1004,I20)</f>
        <v/>
      </c>
      <c r="L20" s="12">
        <f>J20-K20</f>
        <v/>
      </c>
      <c r="M20" s="13">
        <f>IF(J20=0,0,K20/J20)</f>
        <v/>
      </c>
      <c r="N20" s="1" t="n"/>
      <c r="O20" s="1" t="n"/>
      <c r="P20" s="1" t="n"/>
      <c r="Q20" s="1" t="n"/>
      <c r="R20" s="1" t="n"/>
      <c r="S20" s="1" t="n"/>
      <c r="T20" s="1" t="n"/>
    </row>
    <row r="21">
      <c r="A21" s="1" t="n"/>
      <c r="B21" s="1" t="n"/>
      <c r="C21" s="1" t="n"/>
      <c r="D21" s="1" t="n"/>
      <c r="E21" s="1" t="n"/>
      <c r="F21" s="1" t="n"/>
      <c r="G21" s="1" t="n"/>
      <c r="H21" s="1" t="n"/>
      <c r="I21" s="14">
        <f>Setup!B21</f>
        <v/>
      </c>
      <c r="J21" s="12">
        <f>Setup!C21*MAX(1,MAX(Transactions!$G$5:$G$1004))</f>
        <v/>
      </c>
      <c r="K21" s="12">
        <f>SUMIFS(Transactions!$F$5:$F$1004,Transactions!$D$5:$D$1004,I21)</f>
        <v/>
      </c>
      <c r="L21" s="12">
        <f>J21-K21</f>
        <v/>
      </c>
      <c r="M21" s="13">
        <f>IF(J21=0,0,K21/J21)</f>
        <v/>
      </c>
      <c r="N21" s="1" t="n"/>
      <c r="O21" s="1" t="n"/>
      <c r="P21" s="1" t="n"/>
      <c r="Q21" s="1" t="n"/>
      <c r="R21" s="1" t="n"/>
      <c r="S21" s="1" t="n"/>
      <c r="T21" s="1" t="n"/>
    </row>
    <row r="22">
      <c r="A22" s="1" t="n"/>
      <c r="B22" s="1" t="n"/>
      <c r="C22" s="1" t="n"/>
      <c r="D22" s="1" t="n"/>
      <c r="E22" s="1" t="n"/>
      <c r="F22" s="1" t="n"/>
      <c r="G22" s="1" t="n"/>
      <c r="H22" s="1" t="n"/>
      <c r="I22" s="14">
        <f>Setup!B22</f>
        <v/>
      </c>
      <c r="J22" s="12">
        <f>Setup!C22*MAX(1,MAX(Transactions!$G$5:$G$1004))</f>
        <v/>
      </c>
      <c r="K22" s="12">
        <f>SUMIFS(Transactions!$F$5:$F$1004,Transactions!$D$5:$D$1004,I22)</f>
        <v/>
      </c>
      <c r="L22" s="12">
        <f>J22-K22</f>
        <v/>
      </c>
      <c r="M22" s="13">
        <f>IF(J22=0,0,K22/J22)</f>
        <v/>
      </c>
      <c r="N22" s="1" t="n"/>
      <c r="O22" s="1" t="n"/>
      <c r="P22" s="1" t="n"/>
      <c r="Q22" s="1" t="n"/>
      <c r="R22" s="1" t="n"/>
      <c r="S22" s="1" t="n"/>
      <c r="T22" s="1" t="n"/>
    </row>
    <row r="23">
      <c r="A23" s="1" t="n"/>
      <c r="B23" s="1" t="n"/>
      <c r="C23" s="1" t="n"/>
      <c r="D23" s="1" t="n"/>
      <c r="E23" s="1" t="n"/>
      <c r="F23" s="1" t="n"/>
      <c r="G23" s="1" t="n"/>
      <c r="H23" s="1" t="n"/>
      <c r="I23" s="14">
        <f>Setup!B23</f>
        <v/>
      </c>
      <c r="J23" s="12">
        <f>Setup!C23*MAX(1,MAX(Transactions!$G$5:$G$1004))</f>
        <v/>
      </c>
      <c r="K23" s="12">
        <f>SUMIFS(Transactions!$F$5:$F$1004,Transactions!$D$5:$D$1004,I23)</f>
        <v/>
      </c>
      <c r="L23" s="12">
        <f>J23-K23</f>
        <v/>
      </c>
      <c r="M23" s="13">
        <f>IF(J23=0,0,K23/J23)</f>
        <v/>
      </c>
      <c r="N23" s="1" t="n"/>
      <c r="O23" s="1" t="n"/>
      <c r="P23" s="1" t="n"/>
      <c r="Q23" s="1" t="n"/>
      <c r="R23" s="1" t="n"/>
      <c r="S23" s="1" t="n"/>
      <c r="T23" s="1" t="n"/>
    </row>
    <row r="24">
      <c r="A24" s="1" t="n"/>
      <c r="B24" s="1" t="n"/>
      <c r="C24" s="1" t="n"/>
      <c r="D24" s="1" t="n"/>
      <c r="E24" s="1" t="n"/>
      <c r="F24" s="1" t="n"/>
      <c r="G24" s="1" t="n"/>
      <c r="H24" s="1" t="n"/>
      <c r="I24" s="14">
        <f>Setup!B24</f>
        <v/>
      </c>
      <c r="J24" s="12">
        <f>Setup!C24*MAX(1,MAX(Transactions!$G$5:$G$1004))</f>
        <v/>
      </c>
      <c r="K24" s="12">
        <f>SUMIFS(Transactions!$F$5:$F$1004,Transactions!$D$5:$D$1004,I24)</f>
        <v/>
      </c>
      <c r="L24" s="12">
        <f>J24-K24</f>
        <v/>
      </c>
      <c r="M24" s="13">
        <f>IF(J24=0,0,K24/J24)</f>
        <v/>
      </c>
      <c r="N24" s="1" t="n"/>
      <c r="O24" s="1" t="n"/>
      <c r="P24" s="1" t="n"/>
      <c r="Q24" s="1" t="n"/>
      <c r="R24" s="1" t="n"/>
      <c r="S24" s="1" t="n"/>
      <c r="T24" s="1" t="n"/>
    </row>
    <row r="25">
      <c r="A25" s="1" t="n"/>
      <c r="B25" s="1" t="n"/>
      <c r="C25" s="1" t="n"/>
      <c r="D25" s="1" t="n"/>
      <c r="E25" s="1" t="n"/>
      <c r="F25" s="1" t="n"/>
      <c r="G25" s="1" t="n"/>
      <c r="H25" s="1" t="n"/>
      <c r="I25" s="14">
        <f>Setup!B25</f>
        <v/>
      </c>
      <c r="J25" s="12">
        <f>Setup!C25*MAX(1,MAX(Transactions!$G$5:$G$1004))</f>
        <v/>
      </c>
      <c r="K25" s="12">
        <f>SUMIFS(Transactions!$F$5:$F$1004,Transactions!$D$5:$D$1004,I25)</f>
        <v/>
      </c>
      <c r="L25" s="12">
        <f>J25-K25</f>
        <v/>
      </c>
      <c r="M25" s="13">
        <f>IF(J25=0,0,K25/J25)</f>
        <v/>
      </c>
      <c r="N25" s="1" t="n"/>
      <c r="O25" s="1" t="n"/>
      <c r="P25" s="1" t="n"/>
      <c r="Q25" s="1" t="n"/>
      <c r="R25" s="1" t="n"/>
      <c r="S25" s="1" t="n"/>
      <c r="T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row>
  </sheetData>
  <conditionalFormatting sqref="E8:E19">
    <cfRule type="cellIs" priority="1" operator="lessThan" dxfId="0">
      <formula>0</formula>
    </cfRule>
  </conditionalFormatting>
  <conditionalFormatting sqref="I8:M25">
    <cfRule type="expression" priority="2" dxfId="1">
      <formula>$M8&gt;1</formula>
    </cfRule>
  </conditionalFormatting>
  <conditionalFormatting sqref="M8:M25">
    <cfRule type="dataBar" priority="3">
      <dataBar>
        <cfvo type="num" val="0"/>
        <cfvo type="num" val="1"/>
        <color rgb="007FB394"/>
      </dataBar>
    </cfRule>
  </conditionalFormatting>
  <pageMargins left="0.75" right="0.75" top="1" bottom="1" header="0.5" footer="0.5"/>
  <pageSetup orientation="landscape" fitToHeight="1" fitToWidth="1"/>
  <drawing xmlns:r="http://schemas.openxmlformats.org/officeDocument/2006/relationships" r:id="rId1"/>
</worksheet>
</file>

<file path=xl/worksheets/sheet3.xml><?xml version="1.0" encoding="utf-8"?>
<worksheet xmlns="http://schemas.openxmlformats.org/spreadsheetml/2006/main">
  <sheetPr>
    <tabColor rgb="002F6B4F"/>
    <outlinePr summaryBelow="1" summaryRight="1"/>
    <pageSetUpPr fitToPage="1"/>
  </sheetPr>
  <dimension ref="A1:T60"/>
  <sheetViews>
    <sheetView showGridLines="0" workbookViewId="0">
      <selection activeCell="A1" sqref="A1"/>
    </sheetView>
  </sheetViews>
  <sheetFormatPr baseColWidth="8" defaultRowHeight="15"/>
  <cols>
    <col width="3" customWidth="1" min="1" max="1"/>
    <col width="28" customWidth="1" min="2" max="2"/>
    <col width="18" customWidth="1" min="3" max="3"/>
    <col width="4" customWidth="1" min="4" max="4"/>
    <col width="28" customWidth="1" min="5" max="5"/>
    <col width="18" customWidth="1" min="6" max="6"/>
    <col width="22" customWidth="1" min="8" max="8"/>
  </cols>
  <sheetData>
    <row r="1" ht="36" customHeight="1">
      <c r="A1" s="1" t="n"/>
      <c r="B1" s="2" t="inlineStr">
        <is>
          <t>Setup</t>
        </is>
      </c>
      <c r="C1" s="1" t="n"/>
      <c r="D1" s="1" t="n"/>
      <c r="E1" s="1" t="n"/>
      <c r="F1" s="1" t="n"/>
      <c r="G1" s="1" t="n"/>
      <c r="H1" s="1" t="n"/>
      <c r="I1" s="1" t="n"/>
      <c r="J1" s="1" t="n"/>
      <c r="K1" s="1" t="n"/>
      <c r="L1" s="1" t="n"/>
      <c r="M1" s="1" t="n"/>
      <c r="N1" s="1" t="n"/>
      <c r="O1" s="1" t="n"/>
      <c r="P1" s="1" t="n"/>
      <c r="Q1" s="1" t="n"/>
      <c r="R1" s="1" t="n"/>
      <c r="S1" s="1" t="n"/>
      <c r="T1" s="1" t="n"/>
    </row>
    <row r="2">
      <c r="A2" s="1" t="n"/>
      <c r="B2" s="3" t="inlineStr">
        <is>
          <t>Edit the white cells. Everything else updates automatically.</t>
        </is>
      </c>
      <c r="C2" s="1" t="n"/>
      <c r="D2" s="1" t="n"/>
      <c r="E2" s="1" t="n"/>
      <c r="F2" s="1" t="n"/>
      <c r="G2" s="1" t="n"/>
      <c r="H2" s="1" t="n"/>
      <c r="I2" s="1" t="n"/>
      <c r="J2" s="1" t="n"/>
      <c r="K2" s="1" t="n"/>
      <c r="L2" s="1" t="n"/>
      <c r="M2" s="1" t="n"/>
      <c r="N2" s="1" t="n"/>
      <c r="O2" s="1" t="n"/>
      <c r="P2" s="1" t="n"/>
      <c r="Q2" s="1" t="n"/>
      <c r="R2" s="1" t="n"/>
      <c r="S2" s="1" t="n"/>
      <c r="T2" s="1" t="n"/>
    </row>
    <row r="3">
      <c r="A3" s="1" t="n"/>
      <c r="B3" s="1" t="n"/>
      <c r="C3" s="1" t="n"/>
      <c r="D3" s="1" t="n"/>
      <c r="E3" s="1" t="n"/>
      <c r="F3" s="1" t="n"/>
      <c r="G3" s="1" t="n"/>
      <c r="H3" s="1" t="n"/>
      <c r="I3" s="1" t="n"/>
      <c r="J3" s="1" t="n"/>
      <c r="K3" s="1" t="n"/>
      <c r="L3" s="1" t="n"/>
      <c r="M3" s="1" t="n"/>
      <c r="N3" s="1" t="n"/>
      <c r="O3" s="1" t="n"/>
      <c r="P3" s="1" t="n"/>
      <c r="Q3" s="1" t="n"/>
      <c r="R3" s="1" t="n"/>
      <c r="S3" s="1" t="n"/>
      <c r="T3" s="1" t="n"/>
    </row>
    <row r="4">
      <c r="A4" s="1" t="n"/>
      <c r="B4" s="11" t="inlineStr">
        <is>
          <t>Starting balance (Jan 1)</t>
        </is>
      </c>
      <c r="C4" s="18" t="n">
        <v>2500</v>
      </c>
      <c r="D4" s="1" t="n"/>
      <c r="E4" s="1" t="n"/>
      <c r="F4" s="1" t="n"/>
      <c r="G4" s="1" t="n"/>
      <c r="H4" s="1" t="n"/>
      <c r="I4" s="1" t="n"/>
      <c r="J4" s="1" t="n"/>
      <c r="K4" s="1" t="n"/>
      <c r="L4" s="1" t="n"/>
      <c r="M4" s="1" t="n"/>
      <c r="N4" s="1" t="n"/>
      <c r="O4" s="1" t="n"/>
      <c r="P4" s="1" t="n"/>
      <c r="Q4" s="1" t="n"/>
      <c r="R4" s="1" t="n"/>
      <c r="S4" s="1" t="n"/>
      <c r="T4" s="1" t="n"/>
    </row>
    <row r="5">
      <c r="A5" s="1" t="n"/>
      <c r="B5" s="11" t="inlineStr">
        <is>
          <t>Monthly savings target</t>
        </is>
      </c>
      <c r="C5" s="18" t="n">
        <v>500</v>
      </c>
      <c r="D5" s="1" t="n"/>
      <c r="E5" s="1" t="n"/>
      <c r="F5" s="1" t="n"/>
      <c r="G5" s="1" t="n"/>
      <c r="H5" s="1" t="n"/>
      <c r="I5" s="1" t="n"/>
      <c r="J5" s="1" t="n"/>
      <c r="K5" s="1" t="n"/>
      <c r="L5" s="1" t="n"/>
      <c r="M5" s="1" t="n"/>
      <c r="N5" s="1" t="n"/>
      <c r="O5" s="1" t="n"/>
      <c r="P5" s="1" t="n"/>
      <c r="Q5" s="1" t="n"/>
      <c r="R5" s="1" t="n"/>
      <c r="S5" s="1" t="n"/>
      <c r="T5" s="1" t="n"/>
    </row>
    <row r="6">
      <c r="A6" s="1" t="n"/>
      <c r="B6" s="1" t="n"/>
      <c r="C6" s="1" t="n"/>
      <c r="D6" s="1" t="n"/>
      <c r="E6" s="1" t="n"/>
      <c r="F6" s="1" t="n"/>
      <c r="G6" s="1" t="n"/>
      <c r="H6" s="1" t="n"/>
      <c r="I6" s="1" t="n"/>
      <c r="J6" s="1" t="n"/>
      <c r="K6" s="1" t="n"/>
      <c r="L6" s="1" t="n"/>
      <c r="M6" s="1" t="n"/>
      <c r="N6" s="1" t="n"/>
      <c r="O6" s="1" t="n"/>
      <c r="P6" s="1" t="n"/>
      <c r="Q6" s="1" t="n"/>
      <c r="R6" s="1" t="n"/>
      <c r="S6" s="1" t="n"/>
      <c r="T6" s="1" t="n"/>
    </row>
    <row r="7" ht="22" customHeight="1">
      <c r="A7" s="1" t="n"/>
      <c r="B7" s="10" t="inlineStr">
        <is>
          <t>Expense category</t>
        </is>
      </c>
      <c r="C7" s="10" t="inlineStr">
        <is>
          <t>Monthly budget</t>
        </is>
      </c>
      <c r="D7" s="1" t="n"/>
      <c r="E7" s="10" t="inlineStr">
        <is>
          <t>Income category</t>
        </is>
      </c>
      <c r="F7" s="10" t="inlineStr">
        <is>
          <t>Expected / month</t>
        </is>
      </c>
      <c r="G7" s="1" t="n"/>
      <c r="H7" s="19" t="inlineStr">
        <is>
          <t>All categories (auto)</t>
        </is>
      </c>
      <c r="I7" s="1" t="n"/>
      <c r="J7" s="1" t="n"/>
      <c r="K7" s="1" t="n"/>
      <c r="L7" s="1" t="n"/>
      <c r="M7" s="1" t="n"/>
      <c r="N7" s="1" t="n"/>
      <c r="O7" s="1" t="n"/>
      <c r="P7" s="1" t="n"/>
      <c r="Q7" s="1" t="n"/>
      <c r="R7" s="1" t="n"/>
      <c r="S7" s="1" t="n"/>
      <c r="T7" s="1" t="n"/>
    </row>
    <row r="8">
      <c r="A8" s="1" t="n"/>
      <c r="B8" s="20" t="inlineStr">
        <is>
          <t>Rent / Mortgage</t>
        </is>
      </c>
      <c r="C8" s="18" t="n">
        <v>1200</v>
      </c>
      <c r="D8" s="1" t="n"/>
      <c r="E8" s="20" t="inlineStr">
        <is>
          <t>Salary</t>
        </is>
      </c>
      <c r="F8" s="18" t="n">
        <v>4000</v>
      </c>
      <c r="G8" s="1" t="n"/>
      <c r="H8" s="19">
        <f>E8</f>
        <v/>
      </c>
      <c r="I8" s="1" t="n"/>
      <c r="J8" s="1" t="n"/>
      <c r="K8" s="1" t="n"/>
      <c r="L8" s="1" t="n"/>
      <c r="M8" s="1" t="n"/>
      <c r="N8" s="1" t="n"/>
      <c r="O8" s="1" t="n"/>
      <c r="P8" s="1" t="n"/>
      <c r="Q8" s="1" t="n"/>
      <c r="R8" s="1" t="n"/>
      <c r="S8" s="1" t="n"/>
      <c r="T8" s="1" t="n"/>
    </row>
    <row r="9">
      <c r="A9" s="1" t="n"/>
      <c r="B9" s="20" t="inlineStr">
        <is>
          <t>Utilities</t>
        </is>
      </c>
      <c r="C9" s="18" t="n">
        <v>180</v>
      </c>
      <c r="D9" s="1" t="n"/>
      <c r="E9" s="20" t="inlineStr">
        <is>
          <t>Side Hustle</t>
        </is>
      </c>
      <c r="F9" s="18" t="n">
        <v>0</v>
      </c>
      <c r="G9" s="1" t="n"/>
      <c r="H9" s="19">
        <f>E9</f>
        <v/>
      </c>
      <c r="I9" s="1" t="n"/>
      <c r="J9" s="1" t="n"/>
      <c r="K9" s="1" t="n"/>
      <c r="L9" s="1" t="n"/>
      <c r="M9" s="1" t="n"/>
      <c r="N9" s="1" t="n"/>
      <c r="O9" s="1" t="n"/>
      <c r="P9" s="1" t="n"/>
      <c r="Q9" s="1" t="n"/>
      <c r="R9" s="1" t="n"/>
      <c r="S9" s="1" t="n"/>
      <c r="T9" s="1" t="n"/>
    </row>
    <row r="10">
      <c r="A10" s="1" t="n"/>
      <c r="B10" s="20" t="inlineStr">
        <is>
          <t>Groceries</t>
        </is>
      </c>
      <c r="C10" s="18" t="n">
        <v>450</v>
      </c>
      <c r="D10" s="1" t="n"/>
      <c r="E10" s="20" t="inlineStr">
        <is>
          <t>Freelance</t>
        </is>
      </c>
      <c r="F10" s="18" t="n">
        <v>0</v>
      </c>
      <c r="G10" s="1" t="n"/>
      <c r="H10" s="19">
        <f>E10</f>
        <v/>
      </c>
      <c r="I10" s="1" t="n"/>
      <c r="J10" s="1" t="n"/>
      <c r="K10" s="1" t="n"/>
      <c r="L10" s="1" t="n"/>
      <c r="M10" s="1" t="n"/>
      <c r="N10" s="1" t="n"/>
      <c r="O10" s="1" t="n"/>
      <c r="P10" s="1" t="n"/>
      <c r="Q10" s="1" t="n"/>
      <c r="R10" s="1" t="n"/>
      <c r="S10" s="1" t="n"/>
      <c r="T10" s="1" t="n"/>
    </row>
    <row r="11">
      <c r="A11" s="1" t="n"/>
      <c r="B11" s="20" t="inlineStr">
        <is>
          <t>Transport</t>
        </is>
      </c>
      <c r="C11" s="18" t="n">
        <v>200</v>
      </c>
      <c r="D11" s="1" t="n"/>
      <c r="E11" s="20" t="inlineStr">
        <is>
          <t>Investments</t>
        </is>
      </c>
      <c r="F11" s="18" t="n">
        <v>0</v>
      </c>
      <c r="G11" s="1" t="n"/>
      <c r="H11" s="19">
        <f>E11</f>
        <v/>
      </c>
      <c r="I11" s="1" t="n"/>
      <c r="J11" s="1" t="n"/>
      <c r="K11" s="1" t="n"/>
      <c r="L11" s="1" t="n"/>
      <c r="M11" s="1" t="n"/>
      <c r="N11" s="1" t="n"/>
      <c r="O11" s="1" t="n"/>
      <c r="P11" s="1" t="n"/>
      <c r="Q11" s="1" t="n"/>
      <c r="R11" s="1" t="n"/>
      <c r="S11" s="1" t="n"/>
      <c r="T11" s="1" t="n"/>
    </row>
    <row r="12">
      <c r="A12" s="1" t="n"/>
      <c r="B12" s="20" t="inlineStr">
        <is>
          <t>Insurance</t>
        </is>
      </c>
      <c r="C12" s="18" t="n">
        <v>150</v>
      </c>
      <c r="D12" s="1" t="n"/>
      <c r="E12" s="20" t="inlineStr">
        <is>
          <t>Gifts</t>
        </is>
      </c>
      <c r="F12" s="18" t="n">
        <v>0</v>
      </c>
      <c r="G12" s="1" t="n"/>
      <c r="H12" s="19">
        <f>E12</f>
        <v/>
      </c>
      <c r="I12" s="1" t="n"/>
      <c r="J12" s="1" t="n"/>
      <c r="K12" s="1" t="n"/>
      <c r="L12" s="1" t="n"/>
      <c r="M12" s="1" t="n"/>
      <c r="N12" s="1" t="n"/>
      <c r="O12" s="1" t="n"/>
      <c r="P12" s="1" t="n"/>
      <c r="Q12" s="1" t="n"/>
      <c r="R12" s="1" t="n"/>
      <c r="S12" s="1" t="n"/>
      <c r="T12" s="1" t="n"/>
    </row>
    <row r="13">
      <c r="A13" s="1" t="n"/>
      <c r="B13" s="20" t="inlineStr">
        <is>
          <t>Phone &amp; Internet</t>
        </is>
      </c>
      <c r="C13" s="18" t="n">
        <v>90</v>
      </c>
      <c r="D13" s="1" t="n"/>
      <c r="E13" s="20" t="inlineStr">
        <is>
          <t>Other Income</t>
        </is>
      </c>
      <c r="F13" s="18" t="n">
        <v>0</v>
      </c>
      <c r="G13" s="1" t="n"/>
      <c r="H13" s="19">
        <f>E13</f>
        <v/>
      </c>
      <c r="I13" s="1" t="n"/>
      <c r="J13" s="1" t="n"/>
      <c r="K13" s="1" t="n"/>
      <c r="L13" s="1" t="n"/>
      <c r="M13" s="1" t="n"/>
      <c r="N13" s="1" t="n"/>
      <c r="O13" s="1" t="n"/>
      <c r="P13" s="1" t="n"/>
      <c r="Q13" s="1" t="n"/>
      <c r="R13" s="1" t="n"/>
      <c r="S13" s="1" t="n"/>
      <c r="T13" s="1" t="n"/>
    </row>
    <row r="14">
      <c r="A14" s="1" t="n"/>
      <c r="B14" s="20" t="inlineStr">
        <is>
          <t>Dining Out</t>
        </is>
      </c>
      <c r="C14" s="18" t="n">
        <v>150</v>
      </c>
      <c r="D14" s="1" t="n"/>
      <c r="E14" s="11" t="inlineStr">
        <is>
          <t>TOTAL</t>
        </is>
      </c>
      <c r="F14" s="16">
        <f>SUM(F8:F13)</f>
        <v/>
      </c>
      <c r="G14" s="1" t="n"/>
      <c r="H14" s="19">
        <f>B8</f>
        <v/>
      </c>
      <c r="I14" s="1" t="n"/>
      <c r="J14" s="1" t="n"/>
      <c r="K14" s="1" t="n"/>
      <c r="L14" s="1" t="n"/>
      <c r="M14" s="1" t="n"/>
      <c r="N14" s="1" t="n"/>
      <c r="O14" s="1" t="n"/>
      <c r="P14" s="1" t="n"/>
      <c r="Q14" s="1" t="n"/>
      <c r="R14" s="1" t="n"/>
      <c r="S14" s="1" t="n"/>
      <c r="T14" s="1" t="n"/>
    </row>
    <row r="15">
      <c r="A15" s="1" t="n"/>
      <c r="B15" s="20" t="inlineStr">
        <is>
          <t>Entertainment</t>
        </is>
      </c>
      <c r="C15" s="18" t="n">
        <v>80</v>
      </c>
      <c r="D15" s="1" t="n"/>
      <c r="E15" s="1" t="n"/>
      <c r="F15" s="1" t="n"/>
      <c r="G15" s="1" t="n"/>
      <c r="H15" s="19">
        <f>B9</f>
        <v/>
      </c>
      <c r="I15" s="1" t="n"/>
      <c r="J15" s="1" t="n"/>
      <c r="K15" s="1" t="n"/>
      <c r="L15" s="1" t="n"/>
      <c r="M15" s="1" t="n"/>
      <c r="N15" s="1" t="n"/>
      <c r="O15" s="1" t="n"/>
      <c r="P15" s="1" t="n"/>
      <c r="Q15" s="1" t="n"/>
      <c r="R15" s="1" t="n"/>
      <c r="S15" s="1" t="n"/>
      <c r="T15" s="1" t="n"/>
    </row>
    <row r="16">
      <c r="A16" s="1" t="n"/>
      <c r="B16" s="20" t="inlineStr">
        <is>
          <t>Subscriptions</t>
        </is>
      </c>
      <c r="C16" s="18" t="n">
        <v>40</v>
      </c>
      <c r="D16" s="1" t="n"/>
      <c r="E16" s="1" t="n"/>
      <c r="F16" s="1" t="n"/>
      <c r="G16" s="1" t="n"/>
      <c r="H16" s="19">
        <f>B10</f>
        <v/>
      </c>
      <c r="I16" s="1" t="n"/>
      <c r="J16" s="1" t="n"/>
      <c r="K16" s="1" t="n"/>
      <c r="L16" s="1" t="n"/>
      <c r="M16" s="1" t="n"/>
      <c r="N16" s="1" t="n"/>
      <c r="O16" s="1" t="n"/>
      <c r="P16" s="1" t="n"/>
      <c r="Q16" s="1" t="n"/>
      <c r="R16" s="1" t="n"/>
      <c r="S16" s="1" t="n"/>
      <c r="T16" s="1" t="n"/>
    </row>
    <row r="17">
      <c r="A17" s="1" t="n"/>
      <c r="B17" s="20" t="inlineStr">
        <is>
          <t>Shopping</t>
        </is>
      </c>
      <c r="C17" s="18" t="n">
        <v>120</v>
      </c>
      <c r="D17" s="1" t="n"/>
      <c r="E17" s="1" t="n"/>
      <c r="F17" s="1" t="n"/>
      <c r="G17" s="1" t="n"/>
      <c r="H17" s="19">
        <f>B11</f>
        <v/>
      </c>
      <c r="I17" s="1" t="n"/>
      <c r="J17" s="1" t="n"/>
      <c r="K17" s="1" t="n"/>
      <c r="L17" s="1" t="n"/>
      <c r="M17" s="1" t="n"/>
      <c r="N17" s="1" t="n"/>
      <c r="O17" s="1" t="n"/>
      <c r="P17" s="1" t="n"/>
      <c r="Q17" s="1" t="n"/>
      <c r="R17" s="1" t="n"/>
      <c r="S17" s="1" t="n"/>
      <c r="T17" s="1" t="n"/>
    </row>
    <row r="18">
      <c r="A18" s="1" t="n"/>
      <c r="B18" s="20" t="inlineStr">
        <is>
          <t>Health</t>
        </is>
      </c>
      <c r="C18" s="18" t="n">
        <v>60</v>
      </c>
      <c r="D18" s="1" t="n"/>
      <c r="E18" s="1" t="n"/>
      <c r="F18" s="1" t="n"/>
      <c r="G18" s="1" t="n"/>
      <c r="H18" s="19">
        <f>B12</f>
        <v/>
      </c>
      <c r="I18" s="1" t="n"/>
      <c r="J18" s="1" t="n"/>
      <c r="K18" s="1" t="n"/>
      <c r="L18" s="1" t="n"/>
      <c r="M18" s="1" t="n"/>
      <c r="N18" s="1" t="n"/>
      <c r="O18" s="1" t="n"/>
      <c r="P18" s="1" t="n"/>
      <c r="Q18" s="1" t="n"/>
      <c r="R18" s="1" t="n"/>
      <c r="S18" s="1" t="n"/>
      <c r="T18" s="1" t="n"/>
    </row>
    <row r="19">
      <c r="A19" s="1" t="n"/>
      <c r="B19" s="20" t="inlineStr">
        <is>
          <t>Personal Care</t>
        </is>
      </c>
      <c r="C19" s="18" t="n">
        <v>50</v>
      </c>
      <c r="D19" s="1" t="n"/>
      <c r="E19" s="1" t="n"/>
      <c r="F19" s="1" t="n"/>
      <c r="G19" s="1" t="n"/>
      <c r="H19" s="19">
        <f>B13</f>
        <v/>
      </c>
      <c r="I19" s="1" t="n"/>
      <c r="J19" s="1" t="n"/>
      <c r="K19" s="1" t="n"/>
      <c r="L19" s="1" t="n"/>
      <c r="M19" s="1" t="n"/>
      <c r="N19" s="1" t="n"/>
      <c r="O19" s="1" t="n"/>
      <c r="P19" s="1" t="n"/>
      <c r="Q19" s="1" t="n"/>
      <c r="R19" s="1" t="n"/>
      <c r="S19" s="1" t="n"/>
      <c r="T19" s="1" t="n"/>
    </row>
    <row r="20">
      <c r="A20" s="1" t="n"/>
      <c r="B20" s="20" t="inlineStr">
        <is>
          <t>Education</t>
        </is>
      </c>
      <c r="C20" s="18" t="n">
        <v>30</v>
      </c>
      <c r="D20" s="1" t="n"/>
      <c r="E20" s="1" t="n"/>
      <c r="F20" s="1" t="n"/>
      <c r="G20" s="1" t="n"/>
      <c r="H20" s="19">
        <f>B14</f>
        <v/>
      </c>
      <c r="I20" s="1" t="n"/>
      <c r="J20" s="1" t="n"/>
      <c r="K20" s="1" t="n"/>
      <c r="L20" s="1" t="n"/>
      <c r="M20" s="1" t="n"/>
      <c r="N20" s="1" t="n"/>
      <c r="O20" s="1" t="n"/>
      <c r="P20" s="1" t="n"/>
      <c r="Q20" s="1" t="n"/>
      <c r="R20" s="1" t="n"/>
      <c r="S20" s="1" t="n"/>
      <c r="T20" s="1" t="n"/>
    </row>
    <row r="21">
      <c r="A21" s="1" t="n"/>
      <c r="B21" s="20" t="inlineStr">
        <is>
          <t>Gifts &amp; Donations</t>
        </is>
      </c>
      <c r="C21" s="18" t="n">
        <v>50</v>
      </c>
      <c r="D21" s="1" t="n"/>
      <c r="E21" s="1" t="n"/>
      <c r="F21" s="1" t="n"/>
      <c r="G21" s="1" t="n"/>
      <c r="H21" s="19">
        <f>B15</f>
        <v/>
      </c>
      <c r="I21" s="1" t="n"/>
      <c r="J21" s="1" t="n"/>
      <c r="K21" s="1" t="n"/>
      <c r="L21" s="1" t="n"/>
      <c r="M21" s="1" t="n"/>
      <c r="N21" s="1" t="n"/>
      <c r="O21" s="1" t="n"/>
      <c r="P21" s="1" t="n"/>
      <c r="Q21" s="1" t="n"/>
      <c r="R21" s="1" t="n"/>
      <c r="S21" s="1" t="n"/>
      <c r="T21" s="1" t="n"/>
    </row>
    <row r="22">
      <c r="A22" s="1" t="n"/>
      <c r="B22" s="20" t="inlineStr">
        <is>
          <t>Travel</t>
        </is>
      </c>
      <c r="C22" s="18" t="n">
        <v>100</v>
      </c>
      <c r="D22" s="1" t="n"/>
      <c r="E22" s="1" t="n"/>
      <c r="F22" s="1" t="n"/>
      <c r="G22" s="1" t="n"/>
      <c r="H22" s="19">
        <f>B16</f>
        <v/>
      </c>
      <c r="I22" s="1" t="n"/>
      <c r="J22" s="1" t="n"/>
      <c r="K22" s="1" t="n"/>
      <c r="L22" s="1" t="n"/>
      <c r="M22" s="1" t="n"/>
      <c r="N22" s="1" t="n"/>
      <c r="O22" s="1" t="n"/>
      <c r="P22" s="1" t="n"/>
      <c r="Q22" s="1" t="n"/>
      <c r="R22" s="1" t="n"/>
      <c r="S22" s="1" t="n"/>
      <c r="T22" s="1" t="n"/>
    </row>
    <row r="23">
      <c r="A23" s="1" t="n"/>
      <c r="B23" s="20" t="inlineStr">
        <is>
          <t>Debt Payments</t>
        </is>
      </c>
      <c r="C23" s="18" t="n">
        <v>250</v>
      </c>
      <c r="D23" s="1" t="n"/>
      <c r="E23" s="1" t="n"/>
      <c r="F23" s="1" t="n"/>
      <c r="G23" s="1" t="n"/>
      <c r="H23" s="19">
        <f>B17</f>
        <v/>
      </c>
      <c r="I23" s="1" t="n"/>
      <c r="J23" s="1" t="n"/>
      <c r="K23" s="1" t="n"/>
      <c r="L23" s="1" t="n"/>
      <c r="M23" s="1" t="n"/>
      <c r="N23" s="1" t="n"/>
      <c r="O23" s="1" t="n"/>
      <c r="P23" s="1" t="n"/>
      <c r="Q23" s="1" t="n"/>
      <c r="R23" s="1" t="n"/>
      <c r="S23" s="1" t="n"/>
      <c r="T23" s="1" t="n"/>
    </row>
    <row r="24">
      <c r="A24" s="1" t="n"/>
      <c r="B24" s="20" t="inlineStr">
        <is>
          <t>Savings Transfer</t>
        </is>
      </c>
      <c r="C24" s="18" t="n">
        <v>300</v>
      </c>
      <c r="D24" s="1" t="n"/>
      <c r="E24" s="1" t="n"/>
      <c r="F24" s="1" t="n"/>
      <c r="G24" s="1" t="n"/>
      <c r="H24" s="19">
        <f>B18</f>
        <v/>
      </c>
      <c r="I24" s="1" t="n"/>
      <c r="J24" s="1" t="n"/>
      <c r="K24" s="1" t="n"/>
      <c r="L24" s="1" t="n"/>
      <c r="M24" s="1" t="n"/>
      <c r="N24" s="1" t="n"/>
      <c r="O24" s="1" t="n"/>
      <c r="P24" s="1" t="n"/>
      <c r="Q24" s="1" t="n"/>
      <c r="R24" s="1" t="n"/>
      <c r="S24" s="1" t="n"/>
      <c r="T24" s="1" t="n"/>
    </row>
    <row r="25">
      <c r="A25" s="1" t="n"/>
      <c r="B25" s="20" t="inlineStr">
        <is>
          <t>Miscellaneous</t>
        </is>
      </c>
      <c r="C25" s="18" t="n">
        <v>50</v>
      </c>
      <c r="D25" s="1" t="n"/>
      <c r="E25" s="1" t="n"/>
      <c r="F25" s="1" t="n"/>
      <c r="G25" s="1" t="n"/>
      <c r="H25" s="19">
        <f>B19</f>
        <v/>
      </c>
      <c r="I25" s="1" t="n"/>
      <c r="J25" s="1" t="n"/>
      <c r="K25" s="1" t="n"/>
      <c r="L25" s="1" t="n"/>
      <c r="M25" s="1" t="n"/>
      <c r="N25" s="1" t="n"/>
      <c r="O25" s="1" t="n"/>
      <c r="P25" s="1" t="n"/>
      <c r="Q25" s="1" t="n"/>
      <c r="R25" s="1" t="n"/>
      <c r="S25" s="1" t="n"/>
      <c r="T25" s="1" t="n"/>
    </row>
    <row r="26">
      <c r="A26" s="1" t="n"/>
      <c r="B26" s="11" t="inlineStr">
        <is>
          <t>TOTAL</t>
        </is>
      </c>
      <c r="C26" s="16">
        <f>SUM(C8:C25)</f>
        <v/>
      </c>
      <c r="D26" s="1" t="n"/>
      <c r="E26" s="1" t="n"/>
      <c r="F26" s="1" t="n"/>
      <c r="G26" s="1" t="n"/>
      <c r="H26" s="19">
        <f>B20</f>
        <v/>
      </c>
      <c r="I26" s="1" t="n"/>
      <c r="J26" s="1" t="n"/>
      <c r="K26" s="1" t="n"/>
      <c r="L26" s="1" t="n"/>
      <c r="M26" s="1" t="n"/>
      <c r="N26" s="1" t="n"/>
      <c r="O26" s="1" t="n"/>
      <c r="P26" s="1" t="n"/>
      <c r="Q26" s="1" t="n"/>
      <c r="R26" s="1" t="n"/>
      <c r="S26" s="1" t="n"/>
      <c r="T26" s="1" t="n"/>
    </row>
    <row r="27">
      <c r="A27" s="1" t="n"/>
      <c r="B27" s="1" t="n"/>
      <c r="C27" s="1" t="n"/>
      <c r="D27" s="1" t="n"/>
      <c r="E27" s="1" t="n"/>
      <c r="F27" s="1" t="n"/>
      <c r="G27" s="1" t="n"/>
      <c r="H27" s="19">
        <f>B21</f>
        <v/>
      </c>
      <c r="I27" s="1" t="n"/>
      <c r="J27" s="1" t="n"/>
      <c r="K27" s="1" t="n"/>
      <c r="L27" s="1" t="n"/>
      <c r="M27" s="1" t="n"/>
      <c r="N27" s="1" t="n"/>
      <c r="O27" s="1" t="n"/>
      <c r="P27" s="1" t="n"/>
      <c r="Q27" s="1" t="n"/>
      <c r="R27" s="1" t="n"/>
      <c r="S27" s="1" t="n"/>
      <c r="T27" s="1" t="n"/>
    </row>
    <row r="28">
      <c r="A28" s="1" t="n"/>
      <c r="B28" s="1" t="n"/>
      <c r="C28" s="1" t="n"/>
      <c r="D28" s="1" t="n"/>
      <c r="E28" s="1" t="n"/>
      <c r="F28" s="1" t="n"/>
      <c r="G28" s="1" t="n"/>
      <c r="H28" s="19">
        <f>B22</f>
        <v/>
      </c>
      <c r="I28" s="1" t="n"/>
      <c r="J28" s="1" t="n"/>
      <c r="K28" s="1" t="n"/>
      <c r="L28" s="1" t="n"/>
      <c r="M28" s="1" t="n"/>
      <c r="N28" s="1" t="n"/>
      <c r="O28" s="1" t="n"/>
      <c r="P28" s="1" t="n"/>
      <c r="Q28" s="1" t="n"/>
      <c r="R28" s="1" t="n"/>
      <c r="S28" s="1" t="n"/>
      <c r="T28" s="1" t="n"/>
    </row>
    <row r="29">
      <c r="A29" s="1" t="n"/>
      <c r="B29" s="1" t="n"/>
      <c r="C29" s="1" t="n"/>
      <c r="D29" s="1" t="n"/>
      <c r="E29" s="1" t="n"/>
      <c r="F29" s="1" t="n"/>
      <c r="G29" s="1" t="n"/>
      <c r="H29" s="19">
        <f>B23</f>
        <v/>
      </c>
      <c r="I29" s="1" t="n"/>
      <c r="J29" s="1" t="n"/>
      <c r="K29" s="1" t="n"/>
      <c r="L29" s="1" t="n"/>
      <c r="M29" s="1" t="n"/>
      <c r="N29" s="1" t="n"/>
      <c r="O29" s="1" t="n"/>
      <c r="P29" s="1" t="n"/>
      <c r="Q29" s="1" t="n"/>
      <c r="R29" s="1" t="n"/>
      <c r="S29" s="1" t="n"/>
      <c r="T29" s="1" t="n"/>
    </row>
    <row r="30">
      <c r="A30" s="1" t="n"/>
      <c r="B30" s="1" t="n"/>
      <c r="C30" s="1" t="n"/>
      <c r="D30" s="1" t="n"/>
      <c r="E30" s="1" t="n"/>
      <c r="F30" s="1" t="n"/>
      <c r="G30" s="1" t="n"/>
      <c r="H30" s="19">
        <f>B24</f>
        <v/>
      </c>
      <c r="I30" s="1" t="n"/>
      <c r="J30" s="1" t="n"/>
      <c r="K30" s="1" t="n"/>
      <c r="L30" s="1" t="n"/>
      <c r="M30" s="1" t="n"/>
      <c r="N30" s="1" t="n"/>
      <c r="O30" s="1" t="n"/>
      <c r="P30" s="1" t="n"/>
      <c r="Q30" s="1" t="n"/>
      <c r="R30" s="1" t="n"/>
      <c r="S30" s="1" t="n"/>
      <c r="T30" s="1" t="n"/>
    </row>
    <row r="31">
      <c r="A31" s="1" t="n"/>
      <c r="B31" s="1" t="n"/>
      <c r="C31" s="1" t="n"/>
      <c r="D31" s="1" t="n"/>
      <c r="E31" s="1" t="n"/>
      <c r="F31" s="1" t="n"/>
      <c r="G31" s="1" t="n"/>
      <c r="H31" s="19">
        <f>B25</f>
        <v/>
      </c>
      <c r="I31" s="1" t="n"/>
      <c r="J31" s="1" t="n"/>
      <c r="K31" s="1" t="n"/>
      <c r="L31" s="1" t="n"/>
      <c r="M31" s="1" t="n"/>
      <c r="N31" s="1" t="n"/>
      <c r="O31" s="1" t="n"/>
      <c r="P31" s="1" t="n"/>
      <c r="Q31" s="1" t="n"/>
      <c r="R31" s="1" t="n"/>
      <c r="S31" s="1" t="n"/>
      <c r="T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row>
  </sheetData>
  <pageMargins left="0.75" right="0.75" top="1" bottom="1" header="0.5" footer="0.5"/>
  <pageSetup orientation="landscape" fitToHeight="1" fitToWidth="1"/>
</worksheet>
</file>

<file path=xl/worksheets/sheet4.xml><?xml version="1.0" encoding="utf-8"?>
<worksheet xmlns="http://schemas.openxmlformats.org/spreadsheetml/2006/main">
  <sheetPr>
    <tabColor rgb="00C9A227"/>
    <outlinePr summaryBelow="1" summaryRight="1"/>
    <pageSetUpPr fitToPage="1"/>
  </sheetPr>
  <dimension ref="B1:G100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3" customWidth="1" min="2" max="2"/>
    <col width="34" customWidth="1" min="3" max="3"/>
    <col width="22" customWidth="1" min="4" max="4"/>
    <col width="12" customWidth="1" min="5" max="5"/>
    <col width="14" customWidth="1" min="6" max="6"/>
    <col width="8" customWidth="1" min="7" max="7"/>
  </cols>
  <sheetData>
    <row r="1">
      <c r="B1" s="21" t="inlineStr">
        <is>
          <t>Transactions</t>
        </is>
      </c>
    </row>
    <row r="2">
      <c r="B2" s="22" t="inlineStr">
        <is>
          <t>One row per income or expense. Enter amounts as positive numbers.</t>
        </is>
      </c>
    </row>
    <row r="4" ht="22" customHeight="1">
      <c r="B4" s="10" t="inlineStr">
        <is>
          <t>Date</t>
        </is>
      </c>
      <c r="C4" s="10" t="inlineStr">
        <is>
          <t>Description</t>
        </is>
      </c>
      <c r="D4" s="10" t="inlineStr">
        <is>
          <t>Category</t>
        </is>
      </c>
      <c r="E4" s="10" t="inlineStr">
        <is>
          <t>Type</t>
        </is>
      </c>
      <c r="F4" s="10" t="inlineStr">
        <is>
          <t>Amount</t>
        </is>
      </c>
      <c r="G4" s="10" t="inlineStr">
        <is>
          <t>Month</t>
        </is>
      </c>
    </row>
    <row r="5">
      <c r="B5" s="23" t="n">
        <v>46388</v>
      </c>
      <c r="C5" s="24" t="inlineStr">
        <is>
          <t>January paycheck</t>
        </is>
      </c>
      <c r="D5" s="24" t="inlineStr">
        <is>
          <t>Salary</t>
        </is>
      </c>
      <c r="E5" s="25">
        <f>IF(D5="","",IF(COUNTIF(Setup!$E$8:$E$13,D5)&gt;0,"Income","Expense"))</f>
        <v/>
      </c>
      <c r="F5" s="26" t="n">
        <v>4000</v>
      </c>
      <c r="G5" s="25">
        <f>IF(B5="","",MONTH(B5))</f>
        <v/>
      </c>
    </row>
    <row r="6">
      <c r="B6" s="23" t="n">
        <v>46389</v>
      </c>
      <c r="C6" s="24" t="inlineStr">
        <is>
          <t>Rent</t>
        </is>
      </c>
      <c r="D6" s="24" t="inlineStr">
        <is>
          <t>Rent / Mortgage</t>
        </is>
      </c>
      <c r="E6" s="25">
        <f>IF(D6="","",IF(COUNTIF(Setup!$E$8:$E$13,D6)&gt;0,"Income","Expense"))</f>
        <v/>
      </c>
      <c r="F6" s="26" t="n">
        <v>1200</v>
      </c>
      <c r="G6" s="25">
        <f>IF(B6="","",MONTH(B6))</f>
        <v/>
      </c>
    </row>
    <row r="7">
      <c r="B7" s="23" t="n">
        <v>46392</v>
      </c>
      <c r="C7" s="24" t="inlineStr">
        <is>
          <t>Weekly groceries</t>
        </is>
      </c>
      <c r="D7" s="24" t="inlineStr">
        <is>
          <t>Groceries</t>
        </is>
      </c>
      <c r="E7" s="25">
        <f>IF(D7="","",IF(COUNTIF(Setup!$E$8:$E$13,D7)&gt;0,"Income","Expense"))</f>
        <v/>
      </c>
      <c r="F7" s="26" t="n">
        <v>112.4</v>
      </c>
      <c r="G7" s="25">
        <f>IF(B7="","",MONTH(B7))</f>
        <v/>
      </c>
    </row>
    <row r="8">
      <c r="B8" s="23" t="n">
        <v>46395</v>
      </c>
      <c r="C8" s="24" t="inlineStr">
        <is>
          <t>Electric bill</t>
        </is>
      </c>
      <c r="D8" s="24" t="inlineStr">
        <is>
          <t>Utilities</t>
        </is>
      </c>
      <c r="E8" s="25">
        <f>IF(D8="","",IF(COUNTIF(Setup!$E$8:$E$13,D8)&gt;0,"Income","Expense"))</f>
        <v/>
      </c>
      <c r="F8" s="26" t="n">
        <v>86.15000000000001</v>
      </c>
      <c r="G8" s="25">
        <f>IF(B8="","",MONTH(B8))</f>
        <v/>
      </c>
    </row>
    <row r="9">
      <c r="B9" s="23" t="n">
        <v>46399</v>
      </c>
      <c r="C9" s="24" t="inlineStr">
        <is>
          <t>Logo design gig</t>
        </is>
      </c>
      <c r="D9" s="24" t="inlineStr">
        <is>
          <t>Freelance</t>
        </is>
      </c>
      <c r="E9" s="25">
        <f>IF(D9="","",IF(COUNTIF(Setup!$E$8:$E$13,D9)&gt;0,"Income","Expense"))</f>
        <v/>
      </c>
      <c r="F9" s="26" t="n">
        <v>350</v>
      </c>
      <c r="G9" s="25">
        <f>IF(B9="","",MONTH(B9))</f>
        <v/>
      </c>
    </row>
    <row r="10">
      <c r="B10" s="23" t="n">
        <v>46402</v>
      </c>
      <c r="C10" s="24" t="inlineStr">
        <is>
          <t>Dinner with friends</t>
        </is>
      </c>
      <c r="D10" s="24" t="inlineStr">
        <is>
          <t>Dining Out</t>
        </is>
      </c>
      <c r="E10" s="25">
        <f>IF(D10="","",IF(COUNTIF(Setup!$E$8:$E$13,D10)&gt;0,"Income","Expense"))</f>
        <v/>
      </c>
      <c r="F10" s="26" t="n">
        <v>64.8</v>
      </c>
      <c r="G10" s="25">
        <f>IF(B10="","",MONTH(B10))</f>
        <v/>
      </c>
    </row>
    <row r="11">
      <c r="B11" s="23" t="n"/>
      <c r="C11" s="24" t="n"/>
      <c r="D11" s="24" t="n"/>
      <c r="E11" s="25">
        <f>IF(D11="","",IF(COUNTIF(Setup!$E$8:$E$13,D11)&gt;0,"Income","Expense"))</f>
        <v/>
      </c>
      <c r="F11" s="26" t="n"/>
      <c r="G11" s="25">
        <f>IF(B11="","",MONTH(B11))</f>
        <v/>
      </c>
    </row>
    <row r="12">
      <c r="B12" s="23" t="n"/>
      <c r="C12" s="24" t="n"/>
      <c r="D12" s="24" t="n"/>
      <c r="E12" s="25">
        <f>IF(D12="","",IF(COUNTIF(Setup!$E$8:$E$13,D12)&gt;0,"Income","Expense"))</f>
        <v/>
      </c>
      <c r="F12" s="26" t="n"/>
      <c r="G12" s="25">
        <f>IF(B12="","",MONTH(B12))</f>
        <v/>
      </c>
    </row>
    <row r="13">
      <c r="B13" s="23" t="n"/>
      <c r="C13" s="24" t="n"/>
      <c r="D13" s="24" t="n"/>
      <c r="E13" s="25">
        <f>IF(D13="","",IF(COUNTIF(Setup!$E$8:$E$13,D13)&gt;0,"Income","Expense"))</f>
        <v/>
      </c>
      <c r="F13" s="26" t="n"/>
      <c r="G13" s="25">
        <f>IF(B13="","",MONTH(B13))</f>
        <v/>
      </c>
    </row>
    <row r="14">
      <c r="B14" s="23" t="n"/>
      <c r="C14" s="24" t="n"/>
      <c r="D14" s="24" t="n"/>
      <c r="E14" s="25">
        <f>IF(D14="","",IF(COUNTIF(Setup!$E$8:$E$13,D14)&gt;0,"Income","Expense"))</f>
        <v/>
      </c>
      <c r="F14" s="26" t="n"/>
      <c r="G14" s="25">
        <f>IF(B14="","",MONTH(B14))</f>
        <v/>
      </c>
    </row>
    <row r="15">
      <c r="B15" s="23" t="n"/>
      <c r="C15" s="24" t="n"/>
      <c r="D15" s="24" t="n"/>
      <c r="E15" s="25">
        <f>IF(D15="","",IF(COUNTIF(Setup!$E$8:$E$13,D15)&gt;0,"Income","Expense"))</f>
        <v/>
      </c>
      <c r="F15" s="26" t="n"/>
      <c r="G15" s="25">
        <f>IF(B15="","",MONTH(B15))</f>
        <v/>
      </c>
    </row>
    <row r="16">
      <c r="B16" s="23" t="n"/>
      <c r="C16" s="24" t="n"/>
      <c r="D16" s="24" t="n"/>
      <c r="E16" s="25">
        <f>IF(D16="","",IF(COUNTIF(Setup!$E$8:$E$13,D16)&gt;0,"Income","Expense"))</f>
        <v/>
      </c>
      <c r="F16" s="26" t="n"/>
      <c r="G16" s="25">
        <f>IF(B16="","",MONTH(B16))</f>
        <v/>
      </c>
    </row>
    <row r="17">
      <c r="B17" s="23" t="n"/>
      <c r="C17" s="24" t="n"/>
      <c r="D17" s="24" t="n"/>
      <c r="E17" s="25">
        <f>IF(D17="","",IF(COUNTIF(Setup!$E$8:$E$13,D17)&gt;0,"Income","Expense"))</f>
        <v/>
      </c>
      <c r="F17" s="26" t="n"/>
      <c r="G17" s="25">
        <f>IF(B17="","",MONTH(B17))</f>
        <v/>
      </c>
    </row>
    <row r="18">
      <c r="B18" s="23" t="n"/>
      <c r="C18" s="24" t="n"/>
      <c r="D18" s="24" t="n"/>
      <c r="E18" s="25">
        <f>IF(D18="","",IF(COUNTIF(Setup!$E$8:$E$13,D18)&gt;0,"Income","Expense"))</f>
        <v/>
      </c>
      <c r="F18" s="26" t="n"/>
      <c r="G18" s="25">
        <f>IF(B18="","",MONTH(B18))</f>
        <v/>
      </c>
    </row>
    <row r="19">
      <c r="B19" s="23" t="n"/>
      <c r="C19" s="24" t="n"/>
      <c r="D19" s="24" t="n"/>
      <c r="E19" s="25">
        <f>IF(D19="","",IF(COUNTIF(Setup!$E$8:$E$13,D19)&gt;0,"Income","Expense"))</f>
        <v/>
      </c>
      <c r="F19" s="26" t="n"/>
      <c r="G19" s="25">
        <f>IF(B19="","",MONTH(B19))</f>
        <v/>
      </c>
    </row>
    <row r="20">
      <c r="B20" s="23" t="n"/>
      <c r="C20" s="24" t="n"/>
      <c r="D20" s="24" t="n"/>
      <c r="E20" s="25">
        <f>IF(D20="","",IF(COUNTIF(Setup!$E$8:$E$13,D20)&gt;0,"Income","Expense"))</f>
        <v/>
      </c>
      <c r="F20" s="26" t="n"/>
      <c r="G20" s="25">
        <f>IF(B20="","",MONTH(B20))</f>
        <v/>
      </c>
    </row>
    <row r="21">
      <c r="B21" s="23" t="n"/>
      <c r="C21" s="24" t="n"/>
      <c r="D21" s="24" t="n"/>
      <c r="E21" s="25">
        <f>IF(D21="","",IF(COUNTIF(Setup!$E$8:$E$13,D21)&gt;0,"Income","Expense"))</f>
        <v/>
      </c>
      <c r="F21" s="26" t="n"/>
      <c r="G21" s="25">
        <f>IF(B21="","",MONTH(B21))</f>
        <v/>
      </c>
    </row>
    <row r="22">
      <c r="B22" s="23" t="n"/>
      <c r="C22" s="24" t="n"/>
      <c r="D22" s="24" t="n"/>
      <c r="E22" s="25">
        <f>IF(D22="","",IF(COUNTIF(Setup!$E$8:$E$13,D22)&gt;0,"Income","Expense"))</f>
        <v/>
      </c>
      <c r="F22" s="26" t="n"/>
      <c r="G22" s="25">
        <f>IF(B22="","",MONTH(B22))</f>
        <v/>
      </c>
    </row>
    <row r="23">
      <c r="B23" s="23" t="n"/>
      <c r="C23" s="24" t="n"/>
      <c r="D23" s="24" t="n"/>
      <c r="E23" s="25">
        <f>IF(D23="","",IF(COUNTIF(Setup!$E$8:$E$13,D23)&gt;0,"Income","Expense"))</f>
        <v/>
      </c>
      <c r="F23" s="26" t="n"/>
      <c r="G23" s="25">
        <f>IF(B23="","",MONTH(B23))</f>
        <v/>
      </c>
    </row>
    <row r="24">
      <c r="B24" s="23" t="n"/>
      <c r="C24" s="24" t="n"/>
      <c r="D24" s="24" t="n"/>
      <c r="E24" s="25">
        <f>IF(D24="","",IF(COUNTIF(Setup!$E$8:$E$13,D24)&gt;0,"Income","Expense"))</f>
        <v/>
      </c>
      <c r="F24" s="26" t="n"/>
      <c r="G24" s="25">
        <f>IF(B24="","",MONTH(B24))</f>
        <v/>
      </c>
    </row>
    <row r="25">
      <c r="B25" s="23" t="n"/>
      <c r="C25" s="24" t="n"/>
      <c r="D25" s="24" t="n"/>
      <c r="E25" s="25">
        <f>IF(D25="","",IF(COUNTIF(Setup!$E$8:$E$13,D25)&gt;0,"Income","Expense"))</f>
        <v/>
      </c>
      <c r="F25" s="26" t="n"/>
      <c r="G25" s="25">
        <f>IF(B25="","",MONTH(B25))</f>
        <v/>
      </c>
    </row>
    <row r="26">
      <c r="B26" s="23" t="n"/>
      <c r="C26" s="24" t="n"/>
      <c r="D26" s="24" t="n"/>
      <c r="E26" s="25">
        <f>IF(D26="","",IF(COUNTIF(Setup!$E$8:$E$13,D26)&gt;0,"Income","Expense"))</f>
        <v/>
      </c>
      <c r="F26" s="26" t="n"/>
      <c r="G26" s="25">
        <f>IF(B26="","",MONTH(B26))</f>
        <v/>
      </c>
    </row>
    <row r="27">
      <c r="B27" s="23" t="n"/>
      <c r="C27" s="24" t="n"/>
      <c r="D27" s="24" t="n"/>
      <c r="E27" s="25">
        <f>IF(D27="","",IF(COUNTIF(Setup!$E$8:$E$13,D27)&gt;0,"Income","Expense"))</f>
        <v/>
      </c>
      <c r="F27" s="26" t="n"/>
      <c r="G27" s="25">
        <f>IF(B27="","",MONTH(B27))</f>
        <v/>
      </c>
    </row>
    <row r="28">
      <c r="B28" s="23" t="n"/>
      <c r="C28" s="24" t="n"/>
      <c r="D28" s="24" t="n"/>
      <c r="E28" s="25">
        <f>IF(D28="","",IF(COUNTIF(Setup!$E$8:$E$13,D28)&gt;0,"Income","Expense"))</f>
        <v/>
      </c>
      <c r="F28" s="26" t="n"/>
      <c r="G28" s="25">
        <f>IF(B28="","",MONTH(B28))</f>
        <v/>
      </c>
    </row>
    <row r="29">
      <c r="B29" s="23" t="n"/>
      <c r="C29" s="24" t="n"/>
      <c r="D29" s="24" t="n"/>
      <c r="E29" s="25">
        <f>IF(D29="","",IF(COUNTIF(Setup!$E$8:$E$13,D29)&gt;0,"Income","Expense"))</f>
        <v/>
      </c>
      <c r="F29" s="26" t="n"/>
      <c r="G29" s="25">
        <f>IF(B29="","",MONTH(B29))</f>
        <v/>
      </c>
    </row>
    <row r="30">
      <c r="B30" s="23" t="n"/>
      <c r="C30" s="24" t="n"/>
      <c r="D30" s="24" t="n"/>
      <c r="E30" s="25">
        <f>IF(D30="","",IF(COUNTIF(Setup!$E$8:$E$13,D30)&gt;0,"Income","Expense"))</f>
        <v/>
      </c>
      <c r="F30" s="26" t="n"/>
      <c r="G30" s="25">
        <f>IF(B30="","",MONTH(B30))</f>
        <v/>
      </c>
    </row>
    <row r="31">
      <c r="B31" s="23" t="n"/>
      <c r="C31" s="24" t="n"/>
      <c r="D31" s="24" t="n"/>
      <c r="E31" s="25">
        <f>IF(D31="","",IF(COUNTIF(Setup!$E$8:$E$13,D31)&gt;0,"Income","Expense"))</f>
        <v/>
      </c>
      <c r="F31" s="26" t="n"/>
      <c r="G31" s="25">
        <f>IF(B31="","",MONTH(B31))</f>
        <v/>
      </c>
    </row>
    <row r="32">
      <c r="B32" s="23" t="n"/>
      <c r="C32" s="24" t="n"/>
      <c r="D32" s="24" t="n"/>
      <c r="E32" s="25">
        <f>IF(D32="","",IF(COUNTIF(Setup!$E$8:$E$13,D32)&gt;0,"Income","Expense"))</f>
        <v/>
      </c>
      <c r="F32" s="26" t="n"/>
      <c r="G32" s="25">
        <f>IF(B32="","",MONTH(B32))</f>
        <v/>
      </c>
    </row>
    <row r="33">
      <c r="B33" s="23" t="n"/>
      <c r="C33" s="24" t="n"/>
      <c r="D33" s="24" t="n"/>
      <c r="E33" s="25">
        <f>IF(D33="","",IF(COUNTIF(Setup!$E$8:$E$13,D33)&gt;0,"Income","Expense"))</f>
        <v/>
      </c>
      <c r="F33" s="26" t="n"/>
      <c r="G33" s="25">
        <f>IF(B33="","",MONTH(B33))</f>
        <v/>
      </c>
    </row>
    <row r="34">
      <c r="B34" s="23" t="n"/>
      <c r="C34" s="24" t="n"/>
      <c r="D34" s="24" t="n"/>
      <c r="E34" s="25">
        <f>IF(D34="","",IF(COUNTIF(Setup!$E$8:$E$13,D34)&gt;0,"Income","Expense"))</f>
        <v/>
      </c>
      <c r="F34" s="26" t="n"/>
      <c r="G34" s="25">
        <f>IF(B34="","",MONTH(B34))</f>
        <v/>
      </c>
    </row>
    <row r="35">
      <c r="B35" s="23" t="n"/>
      <c r="C35" s="24" t="n"/>
      <c r="D35" s="24" t="n"/>
      <c r="E35" s="25">
        <f>IF(D35="","",IF(COUNTIF(Setup!$E$8:$E$13,D35)&gt;0,"Income","Expense"))</f>
        <v/>
      </c>
      <c r="F35" s="26" t="n"/>
      <c r="G35" s="25">
        <f>IF(B35="","",MONTH(B35))</f>
        <v/>
      </c>
    </row>
    <row r="36">
      <c r="B36" s="23" t="n"/>
      <c r="C36" s="24" t="n"/>
      <c r="D36" s="24" t="n"/>
      <c r="E36" s="25">
        <f>IF(D36="","",IF(COUNTIF(Setup!$E$8:$E$13,D36)&gt;0,"Income","Expense"))</f>
        <v/>
      </c>
      <c r="F36" s="26" t="n"/>
      <c r="G36" s="25">
        <f>IF(B36="","",MONTH(B36))</f>
        <v/>
      </c>
    </row>
    <row r="37">
      <c r="B37" s="23" t="n"/>
      <c r="C37" s="24" t="n"/>
      <c r="D37" s="24" t="n"/>
      <c r="E37" s="25">
        <f>IF(D37="","",IF(COUNTIF(Setup!$E$8:$E$13,D37)&gt;0,"Income","Expense"))</f>
        <v/>
      </c>
      <c r="F37" s="26" t="n"/>
      <c r="G37" s="25">
        <f>IF(B37="","",MONTH(B37))</f>
        <v/>
      </c>
    </row>
    <row r="38">
      <c r="B38" s="23" t="n"/>
      <c r="C38" s="24" t="n"/>
      <c r="D38" s="24" t="n"/>
      <c r="E38" s="25">
        <f>IF(D38="","",IF(COUNTIF(Setup!$E$8:$E$13,D38)&gt;0,"Income","Expense"))</f>
        <v/>
      </c>
      <c r="F38" s="26" t="n"/>
      <c r="G38" s="25">
        <f>IF(B38="","",MONTH(B38))</f>
        <v/>
      </c>
    </row>
    <row r="39">
      <c r="B39" s="23" t="n"/>
      <c r="C39" s="24" t="n"/>
      <c r="D39" s="24" t="n"/>
      <c r="E39" s="25">
        <f>IF(D39="","",IF(COUNTIF(Setup!$E$8:$E$13,D39)&gt;0,"Income","Expense"))</f>
        <v/>
      </c>
      <c r="F39" s="26" t="n"/>
      <c r="G39" s="25">
        <f>IF(B39="","",MONTH(B39))</f>
        <v/>
      </c>
    </row>
    <row r="40">
      <c r="B40" s="23" t="n"/>
      <c r="C40" s="24" t="n"/>
      <c r="D40" s="24" t="n"/>
      <c r="E40" s="25">
        <f>IF(D40="","",IF(COUNTIF(Setup!$E$8:$E$13,D40)&gt;0,"Income","Expense"))</f>
        <v/>
      </c>
      <c r="F40" s="26" t="n"/>
      <c r="G40" s="25">
        <f>IF(B40="","",MONTH(B40))</f>
        <v/>
      </c>
    </row>
    <row r="41">
      <c r="B41" s="23" t="n"/>
      <c r="C41" s="24" t="n"/>
      <c r="D41" s="24" t="n"/>
      <c r="E41" s="25">
        <f>IF(D41="","",IF(COUNTIF(Setup!$E$8:$E$13,D41)&gt;0,"Income","Expense"))</f>
        <v/>
      </c>
      <c r="F41" s="26" t="n"/>
      <c r="G41" s="25">
        <f>IF(B41="","",MONTH(B41))</f>
        <v/>
      </c>
    </row>
    <row r="42">
      <c r="B42" s="23" t="n"/>
      <c r="C42" s="24" t="n"/>
      <c r="D42" s="24" t="n"/>
      <c r="E42" s="25">
        <f>IF(D42="","",IF(COUNTIF(Setup!$E$8:$E$13,D42)&gt;0,"Income","Expense"))</f>
        <v/>
      </c>
      <c r="F42" s="26" t="n"/>
      <c r="G42" s="25">
        <f>IF(B42="","",MONTH(B42))</f>
        <v/>
      </c>
    </row>
    <row r="43">
      <c r="B43" s="23" t="n"/>
      <c r="C43" s="24" t="n"/>
      <c r="D43" s="24" t="n"/>
      <c r="E43" s="25">
        <f>IF(D43="","",IF(COUNTIF(Setup!$E$8:$E$13,D43)&gt;0,"Income","Expense"))</f>
        <v/>
      </c>
      <c r="F43" s="26" t="n"/>
      <c r="G43" s="25">
        <f>IF(B43="","",MONTH(B43))</f>
        <v/>
      </c>
    </row>
    <row r="44">
      <c r="B44" s="23" t="n"/>
      <c r="C44" s="24" t="n"/>
      <c r="D44" s="24" t="n"/>
      <c r="E44" s="25">
        <f>IF(D44="","",IF(COUNTIF(Setup!$E$8:$E$13,D44)&gt;0,"Income","Expense"))</f>
        <v/>
      </c>
      <c r="F44" s="26" t="n"/>
      <c r="G44" s="25">
        <f>IF(B44="","",MONTH(B44))</f>
        <v/>
      </c>
    </row>
    <row r="45">
      <c r="B45" s="23" t="n"/>
      <c r="C45" s="24" t="n"/>
      <c r="D45" s="24" t="n"/>
      <c r="E45" s="25">
        <f>IF(D45="","",IF(COUNTIF(Setup!$E$8:$E$13,D45)&gt;0,"Income","Expense"))</f>
        <v/>
      </c>
      <c r="F45" s="26" t="n"/>
      <c r="G45" s="25">
        <f>IF(B45="","",MONTH(B45))</f>
        <v/>
      </c>
    </row>
    <row r="46">
      <c r="B46" s="23" t="n"/>
      <c r="C46" s="24" t="n"/>
      <c r="D46" s="24" t="n"/>
      <c r="E46" s="25">
        <f>IF(D46="","",IF(COUNTIF(Setup!$E$8:$E$13,D46)&gt;0,"Income","Expense"))</f>
        <v/>
      </c>
      <c r="F46" s="26" t="n"/>
      <c r="G46" s="25">
        <f>IF(B46="","",MONTH(B46))</f>
        <v/>
      </c>
    </row>
    <row r="47">
      <c r="B47" s="23" t="n"/>
      <c r="C47" s="24" t="n"/>
      <c r="D47" s="24" t="n"/>
      <c r="E47" s="25">
        <f>IF(D47="","",IF(COUNTIF(Setup!$E$8:$E$13,D47)&gt;0,"Income","Expense"))</f>
        <v/>
      </c>
      <c r="F47" s="26" t="n"/>
      <c r="G47" s="25">
        <f>IF(B47="","",MONTH(B47))</f>
        <v/>
      </c>
    </row>
    <row r="48">
      <c r="B48" s="23" t="n"/>
      <c r="C48" s="24" t="n"/>
      <c r="D48" s="24" t="n"/>
      <c r="E48" s="25">
        <f>IF(D48="","",IF(COUNTIF(Setup!$E$8:$E$13,D48)&gt;0,"Income","Expense"))</f>
        <v/>
      </c>
      <c r="F48" s="26" t="n"/>
      <c r="G48" s="25">
        <f>IF(B48="","",MONTH(B48))</f>
        <v/>
      </c>
    </row>
    <row r="49">
      <c r="B49" s="23" t="n"/>
      <c r="C49" s="24" t="n"/>
      <c r="D49" s="24" t="n"/>
      <c r="E49" s="25">
        <f>IF(D49="","",IF(COUNTIF(Setup!$E$8:$E$13,D49)&gt;0,"Income","Expense"))</f>
        <v/>
      </c>
      <c r="F49" s="26" t="n"/>
      <c r="G49" s="25">
        <f>IF(B49="","",MONTH(B49))</f>
        <v/>
      </c>
    </row>
    <row r="50">
      <c r="B50" s="23" t="n"/>
      <c r="C50" s="24" t="n"/>
      <c r="D50" s="24" t="n"/>
      <c r="E50" s="25">
        <f>IF(D50="","",IF(COUNTIF(Setup!$E$8:$E$13,D50)&gt;0,"Income","Expense"))</f>
        <v/>
      </c>
      <c r="F50" s="26" t="n"/>
      <c r="G50" s="25">
        <f>IF(B50="","",MONTH(B50))</f>
        <v/>
      </c>
    </row>
    <row r="51">
      <c r="B51" s="23" t="n"/>
      <c r="C51" s="24" t="n"/>
      <c r="D51" s="24" t="n"/>
      <c r="E51" s="25">
        <f>IF(D51="","",IF(COUNTIF(Setup!$E$8:$E$13,D51)&gt;0,"Income","Expense"))</f>
        <v/>
      </c>
      <c r="F51" s="26" t="n"/>
      <c r="G51" s="25">
        <f>IF(B51="","",MONTH(B51))</f>
        <v/>
      </c>
    </row>
    <row r="52">
      <c r="B52" s="23" t="n"/>
      <c r="C52" s="24" t="n"/>
      <c r="D52" s="24" t="n"/>
      <c r="E52" s="25">
        <f>IF(D52="","",IF(COUNTIF(Setup!$E$8:$E$13,D52)&gt;0,"Income","Expense"))</f>
        <v/>
      </c>
      <c r="F52" s="26" t="n"/>
      <c r="G52" s="25">
        <f>IF(B52="","",MONTH(B52))</f>
        <v/>
      </c>
    </row>
    <row r="53">
      <c r="B53" s="23" t="n"/>
      <c r="C53" s="24" t="n"/>
      <c r="D53" s="24" t="n"/>
      <c r="E53" s="25">
        <f>IF(D53="","",IF(COUNTIF(Setup!$E$8:$E$13,D53)&gt;0,"Income","Expense"))</f>
        <v/>
      </c>
      <c r="F53" s="26" t="n"/>
      <c r="G53" s="25">
        <f>IF(B53="","",MONTH(B53))</f>
        <v/>
      </c>
    </row>
    <row r="54">
      <c r="B54" s="23" t="n"/>
      <c r="C54" s="24" t="n"/>
      <c r="D54" s="24" t="n"/>
      <c r="E54" s="25">
        <f>IF(D54="","",IF(COUNTIF(Setup!$E$8:$E$13,D54)&gt;0,"Income","Expense"))</f>
        <v/>
      </c>
      <c r="F54" s="26" t="n"/>
      <c r="G54" s="25">
        <f>IF(B54="","",MONTH(B54))</f>
        <v/>
      </c>
    </row>
    <row r="55">
      <c r="B55" s="23" t="n"/>
      <c r="C55" s="24" t="n"/>
      <c r="D55" s="24" t="n"/>
      <c r="E55" s="25">
        <f>IF(D55="","",IF(COUNTIF(Setup!$E$8:$E$13,D55)&gt;0,"Income","Expense"))</f>
        <v/>
      </c>
      <c r="F55" s="26" t="n"/>
      <c r="G55" s="25">
        <f>IF(B55="","",MONTH(B55))</f>
        <v/>
      </c>
    </row>
    <row r="56">
      <c r="B56" s="23" t="n"/>
      <c r="C56" s="24" t="n"/>
      <c r="D56" s="24" t="n"/>
      <c r="E56" s="25">
        <f>IF(D56="","",IF(COUNTIF(Setup!$E$8:$E$13,D56)&gt;0,"Income","Expense"))</f>
        <v/>
      </c>
      <c r="F56" s="26" t="n"/>
      <c r="G56" s="25">
        <f>IF(B56="","",MONTH(B56))</f>
        <v/>
      </c>
    </row>
    <row r="57">
      <c r="B57" s="23" t="n"/>
      <c r="C57" s="24" t="n"/>
      <c r="D57" s="24" t="n"/>
      <c r="E57" s="25">
        <f>IF(D57="","",IF(COUNTIF(Setup!$E$8:$E$13,D57)&gt;0,"Income","Expense"))</f>
        <v/>
      </c>
      <c r="F57" s="26" t="n"/>
      <c r="G57" s="25">
        <f>IF(B57="","",MONTH(B57))</f>
        <v/>
      </c>
    </row>
    <row r="58">
      <c r="B58" s="23" t="n"/>
      <c r="C58" s="24" t="n"/>
      <c r="D58" s="24" t="n"/>
      <c r="E58" s="25">
        <f>IF(D58="","",IF(COUNTIF(Setup!$E$8:$E$13,D58)&gt;0,"Income","Expense"))</f>
        <v/>
      </c>
      <c r="F58" s="26" t="n"/>
      <c r="G58" s="25">
        <f>IF(B58="","",MONTH(B58))</f>
        <v/>
      </c>
    </row>
    <row r="59">
      <c r="B59" s="23" t="n"/>
      <c r="C59" s="24" t="n"/>
      <c r="D59" s="24" t="n"/>
      <c r="E59" s="25">
        <f>IF(D59="","",IF(COUNTIF(Setup!$E$8:$E$13,D59)&gt;0,"Income","Expense"))</f>
        <v/>
      </c>
      <c r="F59" s="26" t="n"/>
      <c r="G59" s="25">
        <f>IF(B59="","",MONTH(B59))</f>
        <v/>
      </c>
    </row>
    <row r="60">
      <c r="B60" s="23" t="n"/>
      <c r="C60" s="24" t="n"/>
      <c r="D60" s="24" t="n"/>
      <c r="E60" s="25">
        <f>IF(D60="","",IF(COUNTIF(Setup!$E$8:$E$13,D60)&gt;0,"Income","Expense"))</f>
        <v/>
      </c>
      <c r="F60" s="26" t="n"/>
      <c r="G60" s="25">
        <f>IF(B60="","",MONTH(B60))</f>
        <v/>
      </c>
    </row>
    <row r="61">
      <c r="B61" s="23" t="n"/>
      <c r="C61" s="24" t="n"/>
      <c r="D61" s="24" t="n"/>
      <c r="E61" s="25">
        <f>IF(D61="","",IF(COUNTIF(Setup!$E$8:$E$13,D61)&gt;0,"Income","Expense"))</f>
        <v/>
      </c>
      <c r="F61" s="26" t="n"/>
      <c r="G61" s="25">
        <f>IF(B61="","",MONTH(B61))</f>
        <v/>
      </c>
    </row>
    <row r="62">
      <c r="B62" s="23" t="n"/>
      <c r="C62" s="24" t="n"/>
      <c r="D62" s="24" t="n"/>
      <c r="E62" s="25">
        <f>IF(D62="","",IF(COUNTIF(Setup!$E$8:$E$13,D62)&gt;0,"Income","Expense"))</f>
        <v/>
      </c>
      <c r="F62" s="26" t="n"/>
      <c r="G62" s="25">
        <f>IF(B62="","",MONTH(B62))</f>
        <v/>
      </c>
    </row>
    <row r="63">
      <c r="B63" s="23" t="n"/>
      <c r="C63" s="24" t="n"/>
      <c r="D63" s="24" t="n"/>
      <c r="E63" s="25">
        <f>IF(D63="","",IF(COUNTIF(Setup!$E$8:$E$13,D63)&gt;0,"Income","Expense"))</f>
        <v/>
      </c>
      <c r="F63" s="26" t="n"/>
      <c r="G63" s="25">
        <f>IF(B63="","",MONTH(B63))</f>
        <v/>
      </c>
    </row>
    <row r="64">
      <c r="B64" s="23" t="n"/>
      <c r="C64" s="24" t="n"/>
      <c r="D64" s="24" t="n"/>
      <c r="E64" s="25">
        <f>IF(D64="","",IF(COUNTIF(Setup!$E$8:$E$13,D64)&gt;0,"Income","Expense"))</f>
        <v/>
      </c>
      <c r="F64" s="26" t="n"/>
      <c r="G64" s="25">
        <f>IF(B64="","",MONTH(B64))</f>
        <v/>
      </c>
    </row>
    <row r="65">
      <c r="B65" s="23" t="n"/>
      <c r="C65" s="24" t="n"/>
      <c r="D65" s="24" t="n"/>
      <c r="E65" s="25">
        <f>IF(D65="","",IF(COUNTIF(Setup!$E$8:$E$13,D65)&gt;0,"Income","Expense"))</f>
        <v/>
      </c>
      <c r="F65" s="26" t="n"/>
      <c r="G65" s="25">
        <f>IF(B65="","",MONTH(B65))</f>
        <v/>
      </c>
    </row>
    <row r="66">
      <c r="B66" s="23" t="n"/>
      <c r="C66" s="24" t="n"/>
      <c r="D66" s="24" t="n"/>
      <c r="E66" s="25">
        <f>IF(D66="","",IF(COUNTIF(Setup!$E$8:$E$13,D66)&gt;0,"Income","Expense"))</f>
        <v/>
      </c>
      <c r="F66" s="26" t="n"/>
      <c r="G66" s="25">
        <f>IF(B66="","",MONTH(B66))</f>
        <v/>
      </c>
    </row>
    <row r="67">
      <c r="B67" s="23" t="n"/>
      <c r="C67" s="24" t="n"/>
      <c r="D67" s="24" t="n"/>
      <c r="E67" s="25">
        <f>IF(D67="","",IF(COUNTIF(Setup!$E$8:$E$13,D67)&gt;0,"Income","Expense"))</f>
        <v/>
      </c>
      <c r="F67" s="26" t="n"/>
      <c r="G67" s="25">
        <f>IF(B67="","",MONTH(B67))</f>
        <v/>
      </c>
    </row>
    <row r="68">
      <c r="B68" s="23" t="n"/>
      <c r="C68" s="24" t="n"/>
      <c r="D68" s="24" t="n"/>
      <c r="E68" s="25">
        <f>IF(D68="","",IF(COUNTIF(Setup!$E$8:$E$13,D68)&gt;0,"Income","Expense"))</f>
        <v/>
      </c>
      <c r="F68" s="26" t="n"/>
      <c r="G68" s="25">
        <f>IF(B68="","",MONTH(B68))</f>
        <v/>
      </c>
    </row>
    <row r="69">
      <c r="B69" s="23" t="n"/>
      <c r="C69" s="24" t="n"/>
      <c r="D69" s="24" t="n"/>
      <c r="E69" s="25">
        <f>IF(D69="","",IF(COUNTIF(Setup!$E$8:$E$13,D69)&gt;0,"Income","Expense"))</f>
        <v/>
      </c>
      <c r="F69" s="26" t="n"/>
      <c r="G69" s="25">
        <f>IF(B69="","",MONTH(B69))</f>
        <v/>
      </c>
    </row>
    <row r="70">
      <c r="B70" s="23" t="n"/>
      <c r="C70" s="24" t="n"/>
      <c r="D70" s="24" t="n"/>
      <c r="E70" s="25">
        <f>IF(D70="","",IF(COUNTIF(Setup!$E$8:$E$13,D70)&gt;0,"Income","Expense"))</f>
        <v/>
      </c>
      <c r="F70" s="26" t="n"/>
      <c r="G70" s="25">
        <f>IF(B70="","",MONTH(B70))</f>
        <v/>
      </c>
    </row>
    <row r="71">
      <c r="B71" s="23" t="n"/>
      <c r="C71" s="24" t="n"/>
      <c r="D71" s="24" t="n"/>
      <c r="E71" s="25">
        <f>IF(D71="","",IF(COUNTIF(Setup!$E$8:$E$13,D71)&gt;0,"Income","Expense"))</f>
        <v/>
      </c>
      <c r="F71" s="26" t="n"/>
      <c r="G71" s="25">
        <f>IF(B71="","",MONTH(B71))</f>
        <v/>
      </c>
    </row>
    <row r="72">
      <c r="B72" s="23" t="n"/>
      <c r="C72" s="24" t="n"/>
      <c r="D72" s="24" t="n"/>
      <c r="E72" s="25">
        <f>IF(D72="","",IF(COUNTIF(Setup!$E$8:$E$13,D72)&gt;0,"Income","Expense"))</f>
        <v/>
      </c>
      <c r="F72" s="26" t="n"/>
      <c r="G72" s="25">
        <f>IF(B72="","",MONTH(B72))</f>
        <v/>
      </c>
    </row>
    <row r="73">
      <c r="B73" s="23" t="n"/>
      <c r="C73" s="24" t="n"/>
      <c r="D73" s="24" t="n"/>
      <c r="E73" s="25">
        <f>IF(D73="","",IF(COUNTIF(Setup!$E$8:$E$13,D73)&gt;0,"Income","Expense"))</f>
        <v/>
      </c>
      <c r="F73" s="26" t="n"/>
      <c r="G73" s="25">
        <f>IF(B73="","",MONTH(B73))</f>
        <v/>
      </c>
    </row>
    <row r="74">
      <c r="B74" s="23" t="n"/>
      <c r="C74" s="24" t="n"/>
      <c r="D74" s="24" t="n"/>
      <c r="E74" s="25">
        <f>IF(D74="","",IF(COUNTIF(Setup!$E$8:$E$13,D74)&gt;0,"Income","Expense"))</f>
        <v/>
      </c>
      <c r="F74" s="26" t="n"/>
      <c r="G74" s="25">
        <f>IF(B74="","",MONTH(B74))</f>
        <v/>
      </c>
    </row>
    <row r="75">
      <c r="B75" s="23" t="n"/>
      <c r="C75" s="24" t="n"/>
      <c r="D75" s="24" t="n"/>
      <c r="E75" s="25">
        <f>IF(D75="","",IF(COUNTIF(Setup!$E$8:$E$13,D75)&gt;0,"Income","Expense"))</f>
        <v/>
      </c>
      <c r="F75" s="26" t="n"/>
      <c r="G75" s="25">
        <f>IF(B75="","",MONTH(B75))</f>
        <v/>
      </c>
    </row>
    <row r="76">
      <c r="B76" s="23" t="n"/>
      <c r="C76" s="24" t="n"/>
      <c r="D76" s="24" t="n"/>
      <c r="E76" s="25">
        <f>IF(D76="","",IF(COUNTIF(Setup!$E$8:$E$13,D76)&gt;0,"Income","Expense"))</f>
        <v/>
      </c>
      <c r="F76" s="26" t="n"/>
      <c r="G76" s="25">
        <f>IF(B76="","",MONTH(B76))</f>
        <v/>
      </c>
    </row>
    <row r="77">
      <c r="B77" s="23" t="n"/>
      <c r="C77" s="24" t="n"/>
      <c r="D77" s="24" t="n"/>
      <c r="E77" s="25">
        <f>IF(D77="","",IF(COUNTIF(Setup!$E$8:$E$13,D77)&gt;0,"Income","Expense"))</f>
        <v/>
      </c>
      <c r="F77" s="26" t="n"/>
      <c r="G77" s="25">
        <f>IF(B77="","",MONTH(B77))</f>
        <v/>
      </c>
    </row>
    <row r="78">
      <c r="B78" s="23" t="n"/>
      <c r="C78" s="24" t="n"/>
      <c r="D78" s="24" t="n"/>
      <c r="E78" s="25">
        <f>IF(D78="","",IF(COUNTIF(Setup!$E$8:$E$13,D78)&gt;0,"Income","Expense"))</f>
        <v/>
      </c>
      <c r="F78" s="26" t="n"/>
      <c r="G78" s="25">
        <f>IF(B78="","",MONTH(B78))</f>
        <v/>
      </c>
    </row>
    <row r="79">
      <c r="B79" s="23" t="n"/>
      <c r="C79" s="24" t="n"/>
      <c r="D79" s="24" t="n"/>
      <c r="E79" s="25">
        <f>IF(D79="","",IF(COUNTIF(Setup!$E$8:$E$13,D79)&gt;0,"Income","Expense"))</f>
        <v/>
      </c>
      <c r="F79" s="26" t="n"/>
      <c r="G79" s="25">
        <f>IF(B79="","",MONTH(B79))</f>
        <v/>
      </c>
    </row>
    <row r="80">
      <c r="B80" s="23" t="n"/>
      <c r="C80" s="24" t="n"/>
      <c r="D80" s="24" t="n"/>
      <c r="E80" s="25">
        <f>IF(D80="","",IF(COUNTIF(Setup!$E$8:$E$13,D80)&gt;0,"Income","Expense"))</f>
        <v/>
      </c>
      <c r="F80" s="26" t="n"/>
      <c r="G80" s="25">
        <f>IF(B80="","",MONTH(B80))</f>
        <v/>
      </c>
    </row>
    <row r="81">
      <c r="B81" s="23" t="n"/>
      <c r="C81" s="24" t="n"/>
      <c r="D81" s="24" t="n"/>
      <c r="E81" s="25">
        <f>IF(D81="","",IF(COUNTIF(Setup!$E$8:$E$13,D81)&gt;0,"Income","Expense"))</f>
        <v/>
      </c>
      <c r="F81" s="26" t="n"/>
      <c r="G81" s="25">
        <f>IF(B81="","",MONTH(B81))</f>
        <v/>
      </c>
    </row>
    <row r="82">
      <c r="B82" s="23" t="n"/>
      <c r="C82" s="24" t="n"/>
      <c r="D82" s="24" t="n"/>
      <c r="E82" s="25">
        <f>IF(D82="","",IF(COUNTIF(Setup!$E$8:$E$13,D82)&gt;0,"Income","Expense"))</f>
        <v/>
      </c>
      <c r="F82" s="26" t="n"/>
      <c r="G82" s="25">
        <f>IF(B82="","",MONTH(B82))</f>
        <v/>
      </c>
    </row>
    <row r="83">
      <c r="B83" s="23" t="n"/>
      <c r="C83" s="24" t="n"/>
      <c r="D83" s="24" t="n"/>
      <c r="E83" s="25">
        <f>IF(D83="","",IF(COUNTIF(Setup!$E$8:$E$13,D83)&gt;0,"Income","Expense"))</f>
        <v/>
      </c>
      <c r="F83" s="26" t="n"/>
      <c r="G83" s="25">
        <f>IF(B83="","",MONTH(B83))</f>
        <v/>
      </c>
    </row>
    <row r="84">
      <c r="B84" s="23" t="n"/>
      <c r="C84" s="24" t="n"/>
      <c r="D84" s="24" t="n"/>
      <c r="E84" s="25">
        <f>IF(D84="","",IF(COUNTIF(Setup!$E$8:$E$13,D84)&gt;0,"Income","Expense"))</f>
        <v/>
      </c>
      <c r="F84" s="26" t="n"/>
      <c r="G84" s="25">
        <f>IF(B84="","",MONTH(B84))</f>
        <v/>
      </c>
    </row>
    <row r="85">
      <c r="B85" s="23" t="n"/>
      <c r="C85" s="24" t="n"/>
      <c r="D85" s="24" t="n"/>
      <c r="E85" s="25">
        <f>IF(D85="","",IF(COUNTIF(Setup!$E$8:$E$13,D85)&gt;0,"Income","Expense"))</f>
        <v/>
      </c>
      <c r="F85" s="26" t="n"/>
      <c r="G85" s="25">
        <f>IF(B85="","",MONTH(B85))</f>
        <v/>
      </c>
    </row>
    <row r="86">
      <c r="B86" s="23" t="n"/>
      <c r="C86" s="24" t="n"/>
      <c r="D86" s="24" t="n"/>
      <c r="E86" s="25">
        <f>IF(D86="","",IF(COUNTIF(Setup!$E$8:$E$13,D86)&gt;0,"Income","Expense"))</f>
        <v/>
      </c>
      <c r="F86" s="26" t="n"/>
      <c r="G86" s="25">
        <f>IF(B86="","",MONTH(B86))</f>
        <v/>
      </c>
    </row>
    <row r="87">
      <c r="B87" s="23" t="n"/>
      <c r="C87" s="24" t="n"/>
      <c r="D87" s="24" t="n"/>
      <c r="E87" s="25">
        <f>IF(D87="","",IF(COUNTIF(Setup!$E$8:$E$13,D87)&gt;0,"Income","Expense"))</f>
        <v/>
      </c>
      <c r="F87" s="26" t="n"/>
      <c r="G87" s="25">
        <f>IF(B87="","",MONTH(B87))</f>
        <v/>
      </c>
    </row>
    <row r="88">
      <c r="B88" s="23" t="n"/>
      <c r="C88" s="24" t="n"/>
      <c r="D88" s="24" t="n"/>
      <c r="E88" s="25">
        <f>IF(D88="","",IF(COUNTIF(Setup!$E$8:$E$13,D88)&gt;0,"Income","Expense"))</f>
        <v/>
      </c>
      <c r="F88" s="26" t="n"/>
      <c r="G88" s="25">
        <f>IF(B88="","",MONTH(B88))</f>
        <v/>
      </c>
    </row>
    <row r="89">
      <c r="B89" s="23" t="n"/>
      <c r="C89" s="24" t="n"/>
      <c r="D89" s="24" t="n"/>
      <c r="E89" s="25">
        <f>IF(D89="","",IF(COUNTIF(Setup!$E$8:$E$13,D89)&gt;0,"Income","Expense"))</f>
        <v/>
      </c>
      <c r="F89" s="26" t="n"/>
      <c r="G89" s="25">
        <f>IF(B89="","",MONTH(B89))</f>
        <v/>
      </c>
    </row>
    <row r="90">
      <c r="B90" s="23" t="n"/>
      <c r="C90" s="24" t="n"/>
      <c r="D90" s="24" t="n"/>
      <c r="E90" s="25">
        <f>IF(D90="","",IF(COUNTIF(Setup!$E$8:$E$13,D90)&gt;0,"Income","Expense"))</f>
        <v/>
      </c>
      <c r="F90" s="26" t="n"/>
      <c r="G90" s="25">
        <f>IF(B90="","",MONTH(B90))</f>
        <v/>
      </c>
    </row>
    <row r="91">
      <c r="B91" s="23" t="n"/>
      <c r="C91" s="24" t="n"/>
      <c r="D91" s="24" t="n"/>
      <c r="E91" s="25">
        <f>IF(D91="","",IF(COUNTIF(Setup!$E$8:$E$13,D91)&gt;0,"Income","Expense"))</f>
        <v/>
      </c>
      <c r="F91" s="26" t="n"/>
      <c r="G91" s="25">
        <f>IF(B91="","",MONTH(B91))</f>
        <v/>
      </c>
    </row>
    <row r="92">
      <c r="B92" s="23" t="n"/>
      <c r="C92" s="24" t="n"/>
      <c r="D92" s="24" t="n"/>
      <c r="E92" s="25">
        <f>IF(D92="","",IF(COUNTIF(Setup!$E$8:$E$13,D92)&gt;0,"Income","Expense"))</f>
        <v/>
      </c>
      <c r="F92" s="26" t="n"/>
      <c r="G92" s="25">
        <f>IF(B92="","",MONTH(B92))</f>
        <v/>
      </c>
    </row>
    <row r="93">
      <c r="B93" s="23" t="n"/>
      <c r="C93" s="24" t="n"/>
      <c r="D93" s="24" t="n"/>
      <c r="E93" s="25">
        <f>IF(D93="","",IF(COUNTIF(Setup!$E$8:$E$13,D93)&gt;0,"Income","Expense"))</f>
        <v/>
      </c>
      <c r="F93" s="26" t="n"/>
      <c r="G93" s="25">
        <f>IF(B93="","",MONTH(B93))</f>
        <v/>
      </c>
    </row>
    <row r="94">
      <c r="B94" s="23" t="n"/>
      <c r="C94" s="24" t="n"/>
      <c r="D94" s="24" t="n"/>
      <c r="E94" s="25">
        <f>IF(D94="","",IF(COUNTIF(Setup!$E$8:$E$13,D94)&gt;0,"Income","Expense"))</f>
        <v/>
      </c>
      <c r="F94" s="26" t="n"/>
      <c r="G94" s="25">
        <f>IF(B94="","",MONTH(B94))</f>
        <v/>
      </c>
    </row>
    <row r="95">
      <c r="B95" s="23" t="n"/>
      <c r="C95" s="24" t="n"/>
      <c r="D95" s="24" t="n"/>
      <c r="E95" s="25">
        <f>IF(D95="","",IF(COUNTIF(Setup!$E$8:$E$13,D95)&gt;0,"Income","Expense"))</f>
        <v/>
      </c>
      <c r="F95" s="26" t="n"/>
      <c r="G95" s="25">
        <f>IF(B95="","",MONTH(B95))</f>
        <v/>
      </c>
    </row>
    <row r="96">
      <c r="B96" s="23" t="n"/>
      <c r="C96" s="24" t="n"/>
      <c r="D96" s="24" t="n"/>
      <c r="E96" s="25">
        <f>IF(D96="","",IF(COUNTIF(Setup!$E$8:$E$13,D96)&gt;0,"Income","Expense"))</f>
        <v/>
      </c>
      <c r="F96" s="26" t="n"/>
      <c r="G96" s="25">
        <f>IF(B96="","",MONTH(B96))</f>
        <v/>
      </c>
    </row>
    <row r="97">
      <c r="B97" s="23" t="n"/>
      <c r="C97" s="24" t="n"/>
      <c r="D97" s="24" t="n"/>
      <c r="E97" s="25">
        <f>IF(D97="","",IF(COUNTIF(Setup!$E$8:$E$13,D97)&gt;0,"Income","Expense"))</f>
        <v/>
      </c>
      <c r="F97" s="26" t="n"/>
      <c r="G97" s="25">
        <f>IF(B97="","",MONTH(B97))</f>
        <v/>
      </c>
    </row>
    <row r="98">
      <c r="B98" s="23" t="n"/>
      <c r="C98" s="24" t="n"/>
      <c r="D98" s="24" t="n"/>
      <c r="E98" s="25">
        <f>IF(D98="","",IF(COUNTIF(Setup!$E$8:$E$13,D98)&gt;0,"Income","Expense"))</f>
        <v/>
      </c>
      <c r="F98" s="26" t="n"/>
      <c r="G98" s="25">
        <f>IF(B98="","",MONTH(B98))</f>
        <v/>
      </c>
    </row>
    <row r="99">
      <c r="B99" s="23" t="n"/>
      <c r="C99" s="24" t="n"/>
      <c r="D99" s="24" t="n"/>
      <c r="E99" s="25">
        <f>IF(D99="","",IF(COUNTIF(Setup!$E$8:$E$13,D99)&gt;0,"Income","Expense"))</f>
        <v/>
      </c>
      <c r="F99" s="26" t="n"/>
      <c r="G99" s="25">
        <f>IF(B99="","",MONTH(B99))</f>
        <v/>
      </c>
    </row>
    <row r="100">
      <c r="B100" s="23" t="n"/>
      <c r="C100" s="24" t="n"/>
      <c r="D100" s="24" t="n"/>
      <c r="E100" s="25">
        <f>IF(D100="","",IF(COUNTIF(Setup!$E$8:$E$13,D100)&gt;0,"Income","Expense"))</f>
        <v/>
      </c>
      <c r="F100" s="26" t="n"/>
      <c r="G100" s="25">
        <f>IF(B100="","",MONTH(B100))</f>
        <v/>
      </c>
    </row>
    <row r="101">
      <c r="B101" s="23" t="n"/>
      <c r="C101" s="24" t="n"/>
      <c r="D101" s="24" t="n"/>
      <c r="E101" s="25">
        <f>IF(D101="","",IF(COUNTIF(Setup!$E$8:$E$13,D101)&gt;0,"Income","Expense"))</f>
        <v/>
      </c>
      <c r="F101" s="26" t="n"/>
      <c r="G101" s="25">
        <f>IF(B101="","",MONTH(B101))</f>
        <v/>
      </c>
    </row>
    <row r="102">
      <c r="B102" s="23" t="n"/>
      <c r="C102" s="24" t="n"/>
      <c r="D102" s="24" t="n"/>
      <c r="E102" s="25">
        <f>IF(D102="","",IF(COUNTIF(Setup!$E$8:$E$13,D102)&gt;0,"Income","Expense"))</f>
        <v/>
      </c>
      <c r="F102" s="26" t="n"/>
      <c r="G102" s="25">
        <f>IF(B102="","",MONTH(B102))</f>
        <v/>
      </c>
    </row>
    <row r="103">
      <c r="B103" s="23" t="n"/>
      <c r="C103" s="24" t="n"/>
      <c r="D103" s="24" t="n"/>
      <c r="E103" s="25">
        <f>IF(D103="","",IF(COUNTIF(Setup!$E$8:$E$13,D103)&gt;0,"Income","Expense"))</f>
        <v/>
      </c>
      <c r="F103" s="26" t="n"/>
      <c r="G103" s="25">
        <f>IF(B103="","",MONTH(B103))</f>
        <v/>
      </c>
    </row>
    <row r="104">
      <c r="B104" s="23" t="n"/>
      <c r="C104" s="24" t="n"/>
      <c r="D104" s="24" t="n"/>
      <c r="E104" s="25">
        <f>IF(D104="","",IF(COUNTIF(Setup!$E$8:$E$13,D104)&gt;0,"Income","Expense"))</f>
        <v/>
      </c>
      <c r="F104" s="26" t="n"/>
      <c r="G104" s="25">
        <f>IF(B104="","",MONTH(B104))</f>
        <v/>
      </c>
    </row>
    <row r="105">
      <c r="B105" s="23" t="n"/>
      <c r="C105" s="24" t="n"/>
      <c r="D105" s="24" t="n"/>
      <c r="E105" s="25">
        <f>IF(D105="","",IF(COUNTIF(Setup!$E$8:$E$13,D105)&gt;0,"Income","Expense"))</f>
        <v/>
      </c>
      <c r="F105" s="26" t="n"/>
      <c r="G105" s="25">
        <f>IF(B105="","",MONTH(B105))</f>
        <v/>
      </c>
    </row>
    <row r="106">
      <c r="B106" s="23" t="n"/>
      <c r="C106" s="24" t="n"/>
      <c r="D106" s="24" t="n"/>
      <c r="E106" s="25">
        <f>IF(D106="","",IF(COUNTIF(Setup!$E$8:$E$13,D106)&gt;0,"Income","Expense"))</f>
        <v/>
      </c>
      <c r="F106" s="26" t="n"/>
      <c r="G106" s="25">
        <f>IF(B106="","",MONTH(B106))</f>
        <v/>
      </c>
    </row>
    <row r="107">
      <c r="B107" s="23" t="n"/>
      <c r="C107" s="24" t="n"/>
      <c r="D107" s="24" t="n"/>
      <c r="E107" s="25">
        <f>IF(D107="","",IF(COUNTIF(Setup!$E$8:$E$13,D107)&gt;0,"Income","Expense"))</f>
        <v/>
      </c>
      <c r="F107" s="26" t="n"/>
      <c r="G107" s="25">
        <f>IF(B107="","",MONTH(B107))</f>
        <v/>
      </c>
    </row>
    <row r="108">
      <c r="B108" s="23" t="n"/>
      <c r="C108" s="24" t="n"/>
      <c r="D108" s="24" t="n"/>
      <c r="E108" s="25">
        <f>IF(D108="","",IF(COUNTIF(Setup!$E$8:$E$13,D108)&gt;0,"Income","Expense"))</f>
        <v/>
      </c>
      <c r="F108" s="26" t="n"/>
      <c r="G108" s="25">
        <f>IF(B108="","",MONTH(B108))</f>
        <v/>
      </c>
    </row>
    <row r="109">
      <c r="B109" s="23" t="n"/>
      <c r="C109" s="24" t="n"/>
      <c r="D109" s="24" t="n"/>
      <c r="E109" s="25">
        <f>IF(D109="","",IF(COUNTIF(Setup!$E$8:$E$13,D109)&gt;0,"Income","Expense"))</f>
        <v/>
      </c>
      <c r="F109" s="26" t="n"/>
      <c r="G109" s="25">
        <f>IF(B109="","",MONTH(B109))</f>
        <v/>
      </c>
    </row>
    <row r="110">
      <c r="B110" s="23" t="n"/>
      <c r="C110" s="24" t="n"/>
      <c r="D110" s="24" t="n"/>
      <c r="E110" s="25">
        <f>IF(D110="","",IF(COUNTIF(Setup!$E$8:$E$13,D110)&gt;0,"Income","Expense"))</f>
        <v/>
      </c>
      <c r="F110" s="26" t="n"/>
      <c r="G110" s="25">
        <f>IF(B110="","",MONTH(B110))</f>
        <v/>
      </c>
    </row>
    <row r="111">
      <c r="B111" s="23" t="n"/>
      <c r="C111" s="24" t="n"/>
      <c r="D111" s="24" t="n"/>
      <c r="E111" s="25">
        <f>IF(D111="","",IF(COUNTIF(Setup!$E$8:$E$13,D111)&gt;0,"Income","Expense"))</f>
        <v/>
      </c>
      <c r="F111" s="26" t="n"/>
      <c r="G111" s="25">
        <f>IF(B111="","",MONTH(B111))</f>
        <v/>
      </c>
    </row>
    <row r="112">
      <c r="B112" s="23" t="n"/>
      <c r="C112" s="24" t="n"/>
      <c r="D112" s="24" t="n"/>
      <c r="E112" s="25">
        <f>IF(D112="","",IF(COUNTIF(Setup!$E$8:$E$13,D112)&gt;0,"Income","Expense"))</f>
        <v/>
      </c>
      <c r="F112" s="26" t="n"/>
      <c r="G112" s="25">
        <f>IF(B112="","",MONTH(B112))</f>
        <v/>
      </c>
    </row>
    <row r="113">
      <c r="B113" s="23" t="n"/>
      <c r="C113" s="24" t="n"/>
      <c r="D113" s="24" t="n"/>
      <c r="E113" s="25">
        <f>IF(D113="","",IF(COUNTIF(Setup!$E$8:$E$13,D113)&gt;0,"Income","Expense"))</f>
        <v/>
      </c>
      <c r="F113" s="26" t="n"/>
      <c r="G113" s="25">
        <f>IF(B113="","",MONTH(B113))</f>
        <v/>
      </c>
    </row>
    <row r="114">
      <c r="B114" s="23" t="n"/>
      <c r="C114" s="24" t="n"/>
      <c r="D114" s="24" t="n"/>
      <c r="E114" s="25">
        <f>IF(D114="","",IF(COUNTIF(Setup!$E$8:$E$13,D114)&gt;0,"Income","Expense"))</f>
        <v/>
      </c>
      <c r="F114" s="26" t="n"/>
      <c r="G114" s="25">
        <f>IF(B114="","",MONTH(B114))</f>
        <v/>
      </c>
    </row>
    <row r="115">
      <c r="B115" s="23" t="n"/>
      <c r="C115" s="24" t="n"/>
      <c r="D115" s="24" t="n"/>
      <c r="E115" s="25">
        <f>IF(D115="","",IF(COUNTIF(Setup!$E$8:$E$13,D115)&gt;0,"Income","Expense"))</f>
        <v/>
      </c>
      <c r="F115" s="26" t="n"/>
      <c r="G115" s="25">
        <f>IF(B115="","",MONTH(B115))</f>
        <v/>
      </c>
    </row>
    <row r="116">
      <c r="B116" s="23" t="n"/>
      <c r="C116" s="24" t="n"/>
      <c r="D116" s="24" t="n"/>
      <c r="E116" s="25">
        <f>IF(D116="","",IF(COUNTIF(Setup!$E$8:$E$13,D116)&gt;0,"Income","Expense"))</f>
        <v/>
      </c>
      <c r="F116" s="26" t="n"/>
      <c r="G116" s="25">
        <f>IF(B116="","",MONTH(B116))</f>
        <v/>
      </c>
    </row>
    <row r="117">
      <c r="B117" s="23" t="n"/>
      <c r="C117" s="24" t="n"/>
      <c r="D117" s="24" t="n"/>
      <c r="E117" s="25">
        <f>IF(D117="","",IF(COUNTIF(Setup!$E$8:$E$13,D117)&gt;0,"Income","Expense"))</f>
        <v/>
      </c>
      <c r="F117" s="26" t="n"/>
      <c r="G117" s="25">
        <f>IF(B117="","",MONTH(B117))</f>
        <v/>
      </c>
    </row>
    <row r="118">
      <c r="B118" s="23" t="n"/>
      <c r="C118" s="24" t="n"/>
      <c r="D118" s="24" t="n"/>
      <c r="E118" s="25">
        <f>IF(D118="","",IF(COUNTIF(Setup!$E$8:$E$13,D118)&gt;0,"Income","Expense"))</f>
        <v/>
      </c>
      <c r="F118" s="26" t="n"/>
      <c r="G118" s="25">
        <f>IF(B118="","",MONTH(B118))</f>
        <v/>
      </c>
    </row>
    <row r="119">
      <c r="B119" s="23" t="n"/>
      <c r="C119" s="24" t="n"/>
      <c r="D119" s="24" t="n"/>
      <c r="E119" s="25">
        <f>IF(D119="","",IF(COUNTIF(Setup!$E$8:$E$13,D119)&gt;0,"Income","Expense"))</f>
        <v/>
      </c>
      <c r="F119" s="26" t="n"/>
      <c r="G119" s="25">
        <f>IF(B119="","",MONTH(B119))</f>
        <v/>
      </c>
    </row>
    <row r="120">
      <c r="B120" s="23" t="n"/>
      <c r="C120" s="24" t="n"/>
      <c r="D120" s="24" t="n"/>
      <c r="E120" s="25">
        <f>IF(D120="","",IF(COUNTIF(Setup!$E$8:$E$13,D120)&gt;0,"Income","Expense"))</f>
        <v/>
      </c>
      <c r="F120" s="26" t="n"/>
      <c r="G120" s="25">
        <f>IF(B120="","",MONTH(B120))</f>
        <v/>
      </c>
    </row>
    <row r="121">
      <c r="B121" s="23" t="n"/>
      <c r="C121" s="24" t="n"/>
      <c r="D121" s="24" t="n"/>
      <c r="E121" s="25">
        <f>IF(D121="","",IF(COUNTIF(Setup!$E$8:$E$13,D121)&gt;0,"Income","Expense"))</f>
        <v/>
      </c>
      <c r="F121" s="26" t="n"/>
      <c r="G121" s="25">
        <f>IF(B121="","",MONTH(B121))</f>
        <v/>
      </c>
    </row>
    <row r="122">
      <c r="B122" s="23" t="n"/>
      <c r="C122" s="24" t="n"/>
      <c r="D122" s="24" t="n"/>
      <c r="E122" s="25">
        <f>IF(D122="","",IF(COUNTIF(Setup!$E$8:$E$13,D122)&gt;0,"Income","Expense"))</f>
        <v/>
      </c>
      <c r="F122" s="26" t="n"/>
      <c r="G122" s="25">
        <f>IF(B122="","",MONTH(B122))</f>
        <v/>
      </c>
    </row>
    <row r="123">
      <c r="B123" s="23" t="n"/>
      <c r="C123" s="24" t="n"/>
      <c r="D123" s="24" t="n"/>
      <c r="E123" s="25">
        <f>IF(D123="","",IF(COUNTIF(Setup!$E$8:$E$13,D123)&gt;0,"Income","Expense"))</f>
        <v/>
      </c>
      <c r="F123" s="26" t="n"/>
      <c r="G123" s="25">
        <f>IF(B123="","",MONTH(B123))</f>
        <v/>
      </c>
    </row>
    <row r="124">
      <c r="B124" s="23" t="n"/>
      <c r="C124" s="24" t="n"/>
      <c r="D124" s="24" t="n"/>
      <c r="E124" s="25">
        <f>IF(D124="","",IF(COUNTIF(Setup!$E$8:$E$13,D124)&gt;0,"Income","Expense"))</f>
        <v/>
      </c>
      <c r="F124" s="26" t="n"/>
      <c r="G124" s="25">
        <f>IF(B124="","",MONTH(B124))</f>
        <v/>
      </c>
    </row>
    <row r="125">
      <c r="B125" s="23" t="n"/>
      <c r="C125" s="24" t="n"/>
      <c r="D125" s="24" t="n"/>
      <c r="E125" s="25">
        <f>IF(D125="","",IF(COUNTIF(Setup!$E$8:$E$13,D125)&gt;0,"Income","Expense"))</f>
        <v/>
      </c>
      <c r="F125" s="26" t="n"/>
      <c r="G125" s="25">
        <f>IF(B125="","",MONTH(B125))</f>
        <v/>
      </c>
    </row>
    <row r="126">
      <c r="B126" s="23" t="n"/>
      <c r="C126" s="24" t="n"/>
      <c r="D126" s="24" t="n"/>
      <c r="E126" s="25">
        <f>IF(D126="","",IF(COUNTIF(Setup!$E$8:$E$13,D126)&gt;0,"Income","Expense"))</f>
        <v/>
      </c>
      <c r="F126" s="26" t="n"/>
      <c r="G126" s="25">
        <f>IF(B126="","",MONTH(B126))</f>
        <v/>
      </c>
    </row>
    <row r="127">
      <c r="B127" s="23" t="n"/>
      <c r="C127" s="24" t="n"/>
      <c r="D127" s="24" t="n"/>
      <c r="E127" s="25">
        <f>IF(D127="","",IF(COUNTIF(Setup!$E$8:$E$13,D127)&gt;0,"Income","Expense"))</f>
        <v/>
      </c>
      <c r="F127" s="26" t="n"/>
      <c r="G127" s="25">
        <f>IF(B127="","",MONTH(B127))</f>
        <v/>
      </c>
    </row>
    <row r="128">
      <c r="B128" s="23" t="n"/>
      <c r="C128" s="24" t="n"/>
      <c r="D128" s="24" t="n"/>
      <c r="E128" s="25">
        <f>IF(D128="","",IF(COUNTIF(Setup!$E$8:$E$13,D128)&gt;0,"Income","Expense"))</f>
        <v/>
      </c>
      <c r="F128" s="26" t="n"/>
      <c r="G128" s="25">
        <f>IF(B128="","",MONTH(B128))</f>
        <v/>
      </c>
    </row>
    <row r="129">
      <c r="B129" s="23" t="n"/>
      <c r="C129" s="24" t="n"/>
      <c r="D129" s="24" t="n"/>
      <c r="E129" s="25">
        <f>IF(D129="","",IF(COUNTIF(Setup!$E$8:$E$13,D129)&gt;0,"Income","Expense"))</f>
        <v/>
      </c>
      <c r="F129" s="26" t="n"/>
      <c r="G129" s="25">
        <f>IF(B129="","",MONTH(B129))</f>
        <v/>
      </c>
    </row>
    <row r="130">
      <c r="B130" s="23" t="n"/>
      <c r="C130" s="24" t="n"/>
      <c r="D130" s="24" t="n"/>
      <c r="E130" s="25">
        <f>IF(D130="","",IF(COUNTIF(Setup!$E$8:$E$13,D130)&gt;0,"Income","Expense"))</f>
        <v/>
      </c>
      <c r="F130" s="26" t="n"/>
      <c r="G130" s="25">
        <f>IF(B130="","",MONTH(B130))</f>
        <v/>
      </c>
    </row>
    <row r="131">
      <c r="B131" s="23" t="n"/>
      <c r="C131" s="24" t="n"/>
      <c r="D131" s="24" t="n"/>
      <c r="E131" s="25">
        <f>IF(D131="","",IF(COUNTIF(Setup!$E$8:$E$13,D131)&gt;0,"Income","Expense"))</f>
        <v/>
      </c>
      <c r="F131" s="26" t="n"/>
      <c r="G131" s="25">
        <f>IF(B131="","",MONTH(B131))</f>
        <v/>
      </c>
    </row>
    <row r="132">
      <c r="B132" s="23" t="n"/>
      <c r="C132" s="24" t="n"/>
      <c r="D132" s="24" t="n"/>
      <c r="E132" s="25">
        <f>IF(D132="","",IF(COUNTIF(Setup!$E$8:$E$13,D132)&gt;0,"Income","Expense"))</f>
        <v/>
      </c>
      <c r="F132" s="26" t="n"/>
      <c r="G132" s="25">
        <f>IF(B132="","",MONTH(B132))</f>
        <v/>
      </c>
    </row>
    <row r="133">
      <c r="B133" s="23" t="n"/>
      <c r="C133" s="24" t="n"/>
      <c r="D133" s="24" t="n"/>
      <c r="E133" s="25">
        <f>IF(D133="","",IF(COUNTIF(Setup!$E$8:$E$13,D133)&gt;0,"Income","Expense"))</f>
        <v/>
      </c>
      <c r="F133" s="26" t="n"/>
      <c r="G133" s="25">
        <f>IF(B133="","",MONTH(B133))</f>
        <v/>
      </c>
    </row>
    <row r="134">
      <c r="B134" s="23" t="n"/>
      <c r="C134" s="24" t="n"/>
      <c r="D134" s="24" t="n"/>
      <c r="E134" s="25">
        <f>IF(D134="","",IF(COUNTIF(Setup!$E$8:$E$13,D134)&gt;0,"Income","Expense"))</f>
        <v/>
      </c>
      <c r="F134" s="26" t="n"/>
      <c r="G134" s="25">
        <f>IF(B134="","",MONTH(B134))</f>
        <v/>
      </c>
    </row>
    <row r="135">
      <c r="B135" s="23" t="n"/>
      <c r="C135" s="24" t="n"/>
      <c r="D135" s="24" t="n"/>
      <c r="E135" s="25">
        <f>IF(D135="","",IF(COUNTIF(Setup!$E$8:$E$13,D135)&gt;0,"Income","Expense"))</f>
        <v/>
      </c>
      <c r="F135" s="26" t="n"/>
      <c r="G135" s="25">
        <f>IF(B135="","",MONTH(B135))</f>
        <v/>
      </c>
    </row>
    <row r="136">
      <c r="B136" s="23" t="n"/>
      <c r="C136" s="24" t="n"/>
      <c r="D136" s="24" t="n"/>
      <c r="E136" s="25">
        <f>IF(D136="","",IF(COUNTIF(Setup!$E$8:$E$13,D136)&gt;0,"Income","Expense"))</f>
        <v/>
      </c>
      <c r="F136" s="26" t="n"/>
      <c r="G136" s="25">
        <f>IF(B136="","",MONTH(B136))</f>
        <v/>
      </c>
    </row>
    <row r="137">
      <c r="B137" s="23" t="n"/>
      <c r="C137" s="24" t="n"/>
      <c r="D137" s="24" t="n"/>
      <c r="E137" s="25">
        <f>IF(D137="","",IF(COUNTIF(Setup!$E$8:$E$13,D137)&gt;0,"Income","Expense"))</f>
        <v/>
      </c>
      <c r="F137" s="26" t="n"/>
      <c r="G137" s="25">
        <f>IF(B137="","",MONTH(B137))</f>
        <v/>
      </c>
    </row>
    <row r="138">
      <c r="B138" s="23" t="n"/>
      <c r="C138" s="24" t="n"/>
      <c r="D138" s="24" t="n"/>
      <c r="E138" s="25">
        <f>IF(D138="","",IF(COUNTIF(Setup!$E$8:$E$13,D138)&gt;0,"Income","Expense"))</f>
        <v/>
      </c>
      <c r="F138" s="26" t="n"/>
      <c r="G138" s="25">
        <f>IF(B138="","",MONTH(B138))</f>
        <v/>
      </c>
    </row>
    <row r="139">
      <c r="B139" s="23" t="n"/>
      <c r="C139" s="24" t="n"/>
      <c r="D139" s="24" t="n"/>
      <c r="E139" s="25">
        <f>IF(D139="","",IF(COUNTIF(Setup!$E$8:$E$13,D139)&gt;0,"Income","Expense"))</f>
        <v/>
      </c>
      <c r="F139" s="26" t="n"/>
      <c r="G139" s="25">
        <f>IF(B139="","",MONTH(B139))</f>
        <v/>
      </c>
    </row>
    <row r="140">
      <c r="B140" s="23" t="n"/>
      <c r="C140" s="24" t="n"/>
      <c r="D140" s="24" t="n"/>
      <c r="E140" s="25">
        <f>IF(D140="","",IF(COUNTIF(Setup!$E$8:$E$13,D140)&gt;0,"Income","Expense"))</f>
        <v/>
      </c>
      <c r="F140" s="26" t="n"/>
      <c r="G140" s="25">
        <f>IF(B140="","",MONTH(B140))</f>
        <v/>
      </c>
    </row>
    <row r="141">
      <c r="B141" s="23" t="n"/>
      <c r="C141" s="24" t="n"/>
      <c r="D141" s="24" t="n"/>
      <c r="E141" s="25">
        <f>IF(D141="","",IF(COUNTIF(Setup!$E$8:$E$13,D141)&gt;0,"Income","Expense"))</f>
        <v/>
      </c>
      <c r="F141" s="26" t="n"/>
      <c r="G141" s="25">
        <f>IF(B141="","",MONTH(B141))</f>
        <v/>
      </c>
    </row>
    <row r="142">
      <c r="B142" s="23" t="n"/>
      <c r="C142" s="24" t="n"/>
      <c r="D142" s="24" t="n"/>
      <c r="E142" s="25">
        <f>IF(D142="","",IF(COUNTIF(Setup!$E$8:$E$13,D142)&gt;0,"Income","Expense"))</f>
        <v/>
      </c>
      <c r="F142" s="26" t="n"/>
      <c r="G142" s="25">
        <f>IF(B142="","",MONTH(B142))</f>
        <v/>
      </c>
    </row>
    <row r="143">
      <c r="B143" s="23" t="n"/>
      <c r="C143" s="24" t="n"/>
      <c r="D143" s="24" t="n"/>
      <c r="E143" s="25">
        <f>IF(D143="","",IF(COUNTIF(Setup!$E$8:$E$13,D143)&gt;0,"Income","Expense"))</f>
        <v/>
      </c>
      <c r="F143" s="26" t="n"/>
      <c r="G143" s="25">
        <f>IF(B143="","",MONTH(B143))</f>
        <v/>
      </c>
    </row>
    <row r="144">
      <c r="B144" s="23" t="n"/>
      <c r="C144" s="24" t="n"/>
      <c r="D144" s="24" t="n"/>
      <c r="E144" s="25">
        <f>IF(D144="","",IF(COUNTIF(Setup!$E$8:$E$13,D144)&gt;0,"Income","Expense"))</f>
        <v/>
      </c>
      <c r="F144" s="26" t="n"/>
      <c r="G144" s="25">
        <f>IF(B144="","",MONTH(B144))</f>
        <v/>
      </c>
    </row>
    <row r="145">
      <c r="B145" s="23" t="n"/>
      <c r="C145" s="24" t="n"/>
      <c r="D145" s="24" t="n"/>
      <c r="E145" s="25">
        <f>IF(D145="","",IF(COUNTIF(Setup!$E$8:$E$13,D145)&gt;0,"Income","Expense"))</f>
        <v/>
      </c>
      <c r="F145" s="26" t="n"/>
      <c r="G145" s="25">
        <f>IF(B145="","",MONTH(B145))</f>
        <v/>
      </c>
    </row>
    <row r="146">
      <c r="B146" s="23" t="n"/>
      <c r="C146" s="24" t="n"/>
      <c r="D146" s="24" t="n"/>
      <c r="E146" s="25">
        <f>IF(D146="","",IF(COUNTIF(Setup!$E$8:$E$13,D146)&gt;0,"Income","Expense"))</f>
        <v/>
      </c>
      <c r="F146" s="26" t="n"/>
      <c r="G146" s="25">
        <f>IF(B146="","",MONTH(B146))</f>
        <v/>
      </c>
    </row>
    <row r="147">
      <c r="B147" s="23" t="n"/>
      <c r="C147" s="24" t="n"/>
      <c r="D147" s="24" t="n"/>
      <c r="E147" s="25">
        <f>IF(D147="","",IF(COUNTIF(Setup!$E$8:$E$13,D147)&gt;0,"Income","Expense"))</f>
        <v/>
      </c>
      <c r="F147" s="26" t="n"/>
      <c r="G147" s="25">
        <f>IF(B147="","",MONTH(B147))</f>
        <v/>
      </c>
    </row>
    <row r="148">
      <c r="B148" s="23" t="n"/>
      <c r="C148" s="24" t="n"/>
      <c r="D148" s="24" t="n"/>
      <c r="E148" s="25">
        <f>IF(D148="","",IF(COUNTIF(Setup!$E$8:$E$13,D148)&gt;0,"Income","Expense"))</f>
        <v/>
      </c>
      <c r="F148" s="26" t="n"/>
      <c r="G148" s="25">
        <f>IF(B148="","",MONTH(B148))</f>
        <v/>
      </c>
    </row>
    <row r="149">
      <c r="B149" s="23" t="n"/>
      <c r="C149" s="24" t="n"/>
      <c r="D149" s="24" t="n"/>
      <c r="E149" s="25">
        <f>IF(D149="","",IF(COUNTIF(Setup!$E$8:$E$13,D149)&gt;0,"Income","Expense"))</f>
        <v/>
      </c>
      <c r="F149" s="26" t="n"/>
      <c r="G149" s="25">
        <f>IF(B149="","",MONTH(B149))</f>
        <v/>
      </c>
    </row>
    <row r="150">
      <c r="B150" s="23" t="n"/>
      <c r="C150" s="24" t="n"/>
      <c r="D150" s="24" t="n"/>
      <c r="E150" s="25">
        <f>IF(D150="","",IF(COUNTIF(Setup!$E$8:$E$13,D150)&gt;0,"Income","Expense"))</f>
        <v/>
      </c>
      <c r="F150" s="26" t="n"/>
      <c r="G150" s="25">
        <f>IF(B150="","",MONTH(B150))</f>
        <v/>
      </c>
    </row>
    <row r="151">
      <c r="B151" s="23" t="n"/>
      <c r="C151" s="24" t="n"/>
      <c r="D151" s="24" t="n"/>
      <c r="E151" s="25">
        <f>IF(D151="","",IF(COUNTIF(Setup!$E$8:$E$13,D151)&gt;0,"Income","Expense"))</f>
        <v/>
      </c>
      <c r="F151" s="26" t="n"/>
      <c r="G151" s="25">
        <f>IF(B151="","",MONTH(B151))</f>
        <v/>
      </c>
    </row>
    <row r="152">
      <c r="B152" s="23" t="n"/>
      <c r="C152" s="24" t="n"/>
      <c r="D152" s="24" t="n"/>
      <c r="E152" s="25">
        <f>IF(D152="","",IF(COUNTIF(Setup!$E$8:$E$13,D152)&gt;0,"Income","Expense"))</f>
        <v/>
      </c>
      <c r="F152" s="26" t="n"/>
      <c r="G152" s="25">
        <f>IF(B152="","",MONTH(B152))</f>
        <v/>
      </c>
    </row>
    <row r="153">
      <c r="B153" s="23" t="n"/>
      <c r="C153" s="24" t="n"/>
      <c r="D153" s="24" t="n"/>
      <c r="E153" s="25">
        <f>IF(D153="","",IF(COUNTIF(Setup!$E$8:$E$13,D153)&gt;0,"Income","Expense"))</f>
        <v/>
      </c>
      <c r="F153" s="26" t="n"/>
      <c r="G153" s="25">
        <f>IF(B153="","",MONTH(B153))</f>
        <v/>
      </c>
    </row>
    <row r="154">
      <c r="B154" s="23" t="n"/>
      <c r="C154" s="24" t="n"/>
      <c r="D154" s="24" t="n"/>
      <c r="E154" s="25">
        <f>IF(D154="","",IF(COUNTIF(Setup!$E$8:$E$13,D154)&gt;0,"Income","Expense"))</f>
        <v/>
      </c>
      <c r="F154" s="26" t="n"/>
      <c r="G154" s="25">
        <f>IF(B154="","",MONTH(B154))</f>
        <v/>
      </c>
    </row>
    <row r="155">
      <c r="B155" s="23" t="n"/>
      <c r="C155" s="24" t="n"/>
      <c r="D155" s="24" t="n"/>
      <c r="E155" s="25">
        <f>IF(D155="","",IF(COUNTIF(Setup!$E$8:$E$13,D155)&gt;0,"Income","Expense"))</f>
        <v/>
      </c>
      <c r="F155" s="26" t="n"/>
      <c r="G155" s="25">
        <f>IF(B155="","",MONTH(B155))</f>
        <v/>
      </c>
    </row>
    <row r="156">
      <c r="B156" s="23" t="n"/>
      <c r="C156" s="24" t="n"/>
      <c r="D156" s="24" t="n"/>
      <c r="E156" s="25">
        <f>IF(D156="","",IF(COUNTIF(Setup!$E$8:$E$13,D156)&gt;0,"Income","Expense"))</f>
        <v/>
      </c>
      <c r="F156" s="26" t="n"/>
      <c r="G156" s="25">
        <f>IF(B156="","",MONTH(B156))</f>
        <v/>
      </c>
    </row>
    <row r="157">
      <c r="B157" s="23" t="n"/>
      <c r="C157" s="24" t="n"/>
      <c r="D157" s="24" t="n"/>
      <c r="E157" s="25">
        <f>IF(D157="","",IF(COUNTIF(Setup!$E$8:$E$13,D157)&gt;0,"Income","Expense"))</f>
        <v/>
      </c>
      <c r="F157" s="26" t="n"/>
      <c r="G157" s="25">
        <f>IF(B157="","",MONTH(B157))</f>
        <v/>
      </c>
    </row>
    <row r="158">
      <c r="B158" s="23" t="n"/>
      <c r="C158" s="24" t="n"/>
      <c r="D158" s="24" t="n"/>
      <c r="E158" s="25">
        <f>IF(D158="","",IF(COUNTIF(Setup!$E$8:$E$13,D158)&gt;0,"Income","Expense"))</f>
        <v/>
      </c>
      <c r="F158" s="26" t="n"/>
      <c r="G158" s="25">
        <f>IF(B158="","",MONTH(B158))</f>
        <v/>
      </c>
    </row>
    <row r="159">
      <c r="B159" s="23" t="n"/>
      <c r="C159" s="24" t="n"/>
      <c r="D159" s="24" t="n"/>
      <c r="E159" s="25">
        <f>IF(D159="","",IF(COUNTIF(Setup!$E$8:$E$13,D159)&gt;0,"Income","Expense"))</f>
        <v/>
      </c>
      <c r="F159" s="26" t="n"/>
      <c r="G159" s="25">
        <f>IF(B159="","",MONTH(B159))</f>
        <v/>
      </c>
    </row>
    <row r="160">
      <c r="B160" s="23" t="n"/>
      <c r="C160" s="24" t="n"/>
      <c r="D160" s="24" t="n"/>
      <c r="E160" s="25">
        <f>IF(D160="","",IF(COUNTIF(Setup!$E$8:$E$13,D160)&gt;0,"Income","Expense"))</f>
        <v/>
      </c>
      <c r="F160" s="26" t="n"/>
      <c r="G160" s="25">
        <f>IF(B160="","",MONTH(B160))</f>
        <v/>
      </c>
    </row>
    <row r="161">
      <c r="B161" s="23" t="n"/>
      <c r="C161" s="24" t="n"/>
      <c r="D161" s="24" t="n"/>
      <c r="E161" s="25">
        <f>IF(D161="","",IF(COUNTIF(Setup!$E$8:$E$13,D161)&gt;0,"Income","Expense"))</f>
        <v/>
      </c>
      <c r="F161" s="26" t="n"/>
      <c r="G161" s="25">
        <f>IF(B161="","",MONTH(B161))</f>
        <v/>
      </c>
    </row>
    <row r="162">
      <c r="B162" s="23" t="n"/>
      <c r="C162" s="24" t="n"/>
      <c r="D162" s="24" t="n"/>
      <c r="E162" s="25">
        <f>IF(D162="","",IF(COUNTIF(Setup!$E$8:$E$13,D162)&gt;0,"Income","Expense"))</f>
        <v/>
      </c>
      <c r="F162" s="26" t="n"/>
      <c r="G162" s="25">
        <f>IF(B162="","",MONTH(B162))</f>
        <v/>
      </c>
    </row>
    <row r="163">
      <c r="B163" s="23" t="n"/>
      <c r="C163" s="24" t="n"/>
      <c r="D163" s="24" t="n"/>
      <c r="E163" s="25">
        <f>IF(D163="","",IF(COUNTIF(Setup!$E$8:$E$13,D163)&gt;0,"Income","Expense"))</f>
        <v/>
      </c>
      <c r="F163" s="26" t="n"/>
      <c r="G163" s="25">
        <f>IF(B163="","",MONTH(B163))</f>
        <v/>
      </c>
    </row>
    <row r="164">
      <c r="B164" s="23" t="n"/>
      <c r="C164" s="24" t="n"/>
      <c r="D164" s="24" t="n"/>
      <c r="E164" s="25">
        <f>IF(D164="","",IF(COUNTIF(Setup!$E$8:$E$13,D164)&gt;0,"Income","Expense"))</f>
        <v/>
      </c>
      <c r="F164" s="26" t="n"/>
      <c r="G164" s="25">
        <f>IF(B164="","",MONTH(B164))</f>
        <v/>
      </c>
    </row>
    <row r="165">
      <c r="B165" s="23" t="n"/>
      <c r="C165" s="24" t="n"/>
      <c r="D165" s="24" t="n"/>
      <c r="E165" s="25">
        <f>IF(D165="","",IF(COUNTIF(Setup!$E$8:$E$13,D165)&gt;0,"Income","Expense"))</f>
        <v/>
      </c>
      <c r="F165" s="26" t="n"/>
      <c r="G165" s="25">
        <f>IF(B165="","",MONTH(B165))</f>
        <v/>
      </c>
    </row>
    <row r="166">
      <c r="B166" s="23" t="n"/>
      <c r="C166" s="24" t="n"/>
      <c r="D166" s="24" t="n"/>
      <c r="E166" s="25">
        <f>IF(D166="","",IF(COUNTIF(Setup!$E$8:$E$13,D166)&gt;0,"Income","Expense"))</f>
        <v/>
      </c>
      <c r="F166" s="26" t="n"/>
      <c r="G166" s="25">
        <f>IF(B166="","",MONTH(B166))</f>
        <v/>
      </c>
    </row>
    <row r="167">
      <c r="B167" s="23" t="n"/>
      <c r="C167" s="24" t="n"/>
      <c r="D167" s="24" t="n"/>
      <c r="E167" s="25">
        <f>IF(D167="","",IF(COUNTIF(Setup!$E$8:$E$13,D167)&gt;0,"Income","Expense"))</f>
        <v/>
      </c>
      <c r="F167" s="26" t="n"/>
      <c r="G167" s="25">
        <f>IF(B167="","",MONTH(B167))</f>
        <v/>
      </c>
    </row>
    <row r="168">
      <c r="B168" s="23" t="n"/>
      <c r="C168" s="24" t="n"/>
      <c r="D168" s="24" t="n"/>
      <c r="E168" s="25">
        <f>IF(D168="","",IF(COUNTIF(Setup!$E$8:$E$13,D168)&gt;0,"Income","Expense"))</f>
        <v/>
      </c>
      <c r="F168" s="26" t="n"/>
      <c r="G168" s="25">
        <f>IF(B168="","",MONTH(B168))</f>
        <v/>
      </c>
    </row>
    <row r="169">
      <c r="B169" s="23" t="n"/>
      <c r="C169" s="24" t="n"/>
      <c r="D169" s="24" t="n"/>
      <c r="E169" s="25">
        <f>IF(D169="","",IF(COUNTIF(Setup!$E$8:$E$13,D169)&gt;0,"Income","Expense"))</f>
        <v/>
      </c>
      <c r="F169" s="26" t="n"/>
      <c r="G169" s="25">
        <f>IF(B169="","",MONTH(B169))</f>
        <v/>
      </c>
    </row>
    <row r="170">
      <c r="B170" s="23" t="n"/>
      <c r="C170" s="24" t="n"/>
      <c r="D170" s="24" t="n"/>
      <c r="E170" s="25">
        <f>IF(D170="","",IF(COUNTIF(Setup!$E$8:$E$13,D170)&gt;0,"Income","Expense"))</f>
        <v/>
      </c>
      <c r="F170" s="26" t="n"/>
      <c r="G170" s="25">
        <f>IF(B170="","",MONTH(B170))</f>
        <v/>
      </c>
    </row>
    <row r="171">
      <c r="B171" s="23" t="n"/>
      <c r="C171" s="24" t="n"/>
      <c r="D171" s="24" t="n"/>
      <c r="E171" s="25">
        <f>IF(D171="","",IF(COUNTIF(Setup!$E$8:$E$13,D171)&gt;0,"Income","Expense"))</f>
        <v/>
      </c>
      <c r="F171" s="26" t="n"/>
      <c r="G171" s="25">
        <f>IF(B171="","",MONTH(B171))</f>
        <v/>
      </c>
    </row>
    <row r="172">
      <c r="B172" s="23" t="n"/>
      <c r="C172" s="24" t="n"/>
      <c r="D172" s="24" t="n"/>
      <c r="E172" s="25">
        <f>IF(D172="","",IF(COUNTIF(Setup!$E$8:$E$13,D172)&gt;0,"Income","Expense"))</f>
        <v/>
      </c>
      <c r="F172" s="26" t="n"/>
      <c r="G172" s="25">
        <f>IF(B172="","",MONTH(B172))</f>
        <v/>
      </c>
    </row>
    <row r="173">
      <c r="B173" s="23" t="n"/>
      <c r="C173" s="24" t="n"/>
      <c r="D173" s="24" t="n"/>
      <c r="E173" s="25">
        <f>IF(D173="","",IF(COUNTIF(Setup!$E$8:$E$13,D173)&gt;0,"Income","Expense"))</f>
        <v/>
      </c>
      <c r="F173" s="26" t="n"/>
      <c r="G173" s="25">
        <f>IF(B173="","",MONTH(B173))</f>
        <v/>
      </c>
    </row>
    <row r="174">
      <c r="B174" s="23" t="n"/>
      <c r="C174" s="24" t="n"/>
      <c r="D174" s="24" t="n"/>
      <c r="E174" s="25">
        <f>IF(D174="","",IF(COUNTIF(Setup!$E$8:$E$13,D174)&gt;0,"Income","Expense"))</f>
        <v/>
      </c>
      <c r="F174" s="26" t="n"/>
      <c r="G174" s="25">
        <f>IF(B174="","",MONTH(B174))</f>
        <v/>
      </c>
    </row>
    <row r="175">
      <c r="B175" s="23" t="n"/>
      <c r="C175" s="24" t="n"/>
      <c r="D175" s="24" t="n"/>
      <c r="E175" s="25">
        <f>IF(D175="","",IF(COUNTIF(Setup!$E$8:$E$13,D175)&gt;0,"Income","Expense"))</f>
        <v/>
      </c>
      <c r="F175" s="26" t="n"/>
      <c r="G175" s="25">
        <f>IF(B175="","",MONTH(B175))</f>
        <v/>
      </c>
    </row>
    <row r="176">
      <c r="B176" s="23" t="n"/>
      <c r="C176" s="24" t="n"/>
      <c r="D176" s="24" t="n"/>
      <c r="E176" s="25">
        <f>IF(D176="","",IF(COUNTIF(Setup!$E$8:$E$13,D176)&gt;0,"Income","Expense"))</f>
        <v/>
      </c>
      <c r="F176" s="26" t="n"/>
      <c r="G176" s="25">
        <f>IF(B176="","",MONTH(B176))</f>
        <v/>
      </c>
    </row>
    <row r="177">
      <c r="B177" s="23" t="n"/>
      <c r="C177" s="24" t="n"/>
      <c r="D177" s="24" t="n"/>
      <c r="E177" s="25">
        <f>IF(D177="","",IF(COUNTIF(Setup!$E$8:$E$13,D177)&gt;0,"Income","Expense"))</f>
        <v/>
      </c>
      <c r="F177" s="26" t="n"/>
      <c r="G177" s="25">
        <f>IF(B177="","",MONTH(B177))</f>
        <v/>
      </c>
    </row>
    <row r="178">
      <c r="B178" s="23" t="n"/>
      <c r="C178" s="24" t="n"/>
      <c r="D178" s="24" t="n"/>
      <c r="E178" s="25">
        <f>IF(D178="","",IF(COUNTIF(Setup!$E$8:$E$13,D178)&gt;0,"Income","Expense"))</f>
        <v/>
      </c>
      <c r="F178" s="26" t="n"/>
      <c r="G178" s="25">
        <f>IF(B178="","",MONTH(B178))</f>
        <v/>
      </c>
    </row>
    <row r="179">
      <c r="B179" s="23" t="n"/>
      <c r="C179" s="24" t="n"/>
      <c r="D179" s="24" t="n"/>
      <c r="E179" s="25">
        <f>IF(D179="","",IF(COUNTIF(Setup!$E$8:$E$13,D179)&gt;0,"Income","Expense"))</f>
        <v/>
      </c>
      <c r="F179" s="26" t="n"/>
      <c r="G179" s="25">
        <f>IF(B179="","",MONTH(B179))</f>
        <v/>
      </c>
    </row>
    <row r="180">
      <c r="B180" s="23" t="n"/>
      <c r="C180" s="24" t="n"/>
      <c r="D180" s="24" t="n"/>
      <c r="E180" s="25">
        <f>IF(D180="","",IF(COUNTIF(Setup!$E$8:$E$13,D180)&gt;0,"Income","Expense"))</f>
        <v/>
      </c>
      <c r="F180" s="26" t="n"/>
      <c r="G180" s="25">
        <f>IF(B180="","",MONTH(B180))</f>
        <v/>
      </c>
    </row>
    <row r="181">
      <c r="B181" s="23" t="n"/>
      <c r="C181" s="24" t="n"/>
      <c r="D181" s="24" t="n"/>
      <c r="E181" s="25">
        <f>IF(D181="","",IF(COUNTIF(Setup!$E$8:$E$13,D181)&gt;0,"Income","Expense"))</f>
        <v/>
      </c>
      <c r="F181" s="26" t="n"/>
      <c r="G181" s="25">
        <f>IF(B181="","",MONTH(B181))</f>
        <v/>
      </c>
    </row>
    <row r="182">
      <c r="B182" s="23" t="n"/>
      <c r="C182" s="24" t="n"/>
      <c r="D182" s="24" t="n"/>
      <c r="E182" s="25">
        <f>IF(D182="","",IF(COUNTIF(Setup!$E$8:$E$13,D182)&gt;0,"Income","Expense"))</f>
        <v/>
      </c>
      <c r="F182" s="26" t="n"/>
      <c r="G182" s="25">
        <f>IF(B182="","",MONTH(B182))</f>
        <v/>
      </c>
    </row>
    <row r="183">
      <c r="B183" s="23" t="n"/>
      <c r="C183" s="24" t="n"/>
      <c r="D183" s="24" t="n"/>
      <c r="E183" s="25">
        <f>IF(D183="","",IF(COUNTIF(Setup!$E$8:$E$13,D183)&gt;0,"Income","Expense"))</f>
        <v/>
      </c>
      <c r="F183" s="26" t="n"/>
      <c r="G183" s="25">
        <f>IF(B183="","",MONTH(B183))</f>
        <v/>
      </c>
    </row>
    <row r="184">
      <c r="B184" s="23" t="n"/>
      <c r="C184" s="24" t="n"/>
      <c r="D184" s="24" t="n"/>
      <c r="E184" s="25">
        <f>IF(D184="","",IF(COUNTIF(Setup!$E$8:$E$13,D184)&gt;0,"Income","Expense"))</f>
        <v/>
      </c>
      <c r="F184" s="26" t="n"/>
      <c r="G184" s="25">
        <f>IF(B184="","",MONTH(B184))</f>
        <v/>
      </c>
    </row>
    <row r="185">
      <c r="B185" s="23" t="n"/>
      <c r="C185" s="24" t="n"/>
      <c r="D185" s="24" t="n"/>
      <c r="E185" s="25">
        <f>IF(D185="","",IF(COUNTIF(Setup!$E$8:$E$13,D185)&gt;0,"Income","Expense"))</f>
        <v/>
      </c>
      <c r="F185" s="26" t="n"/>
      <c r="G185" s="25">
        <f>IF(B185="","",MONTH(B185))</f>
        <v/>
      </c>
    </row>
    <row r="186">
      <c r="B186" s="23" t="n"/>
      <c r="C186" s="24" t="n"/>
      <c r="D186" s="24" t="n"/>
      <c r="E186" s="25">
        <f>IF(D186="","",IF(COUNTIF(Setup!$E$8:$E$13,D186)&gt;0,"Income","Expense"))</f>
        <v/>
      </c>
      <c r="F186" s="26" t="n"/>
      <c r="G186" s="25">
        <f>IF(B186="","",MONTH(B186))</f>
        <v/>
      </c>
    </row>
    <row r="187">
      <c r="B187" s="23" t="n"/>
      <c r="C187" s="24" t="n"/>
      <c r="D187" s="24" t="n"/>
      <c r="E187" s="25">
        <f>IF(D187="","",IF(COUNTIF(Setup!$E$8:$E$13,D187)&gt;0,"Income","Expense"))</f>
        <v/>
      </c>
      <c r="F187" s="26" t="n"/>
      <c r="G187" s="25">
        <f>IF(B187="","",MONTH(B187))</f>
        <v/>
      </c>
    </row>
    <row r="188">
      <c r="B188" s="23" t="n"/>
      <c r="C188" s="24" t="n"/>
      <c r="D188" s="24" t="n"/>
      <c r="E188" s="25">
        <f>IF(D188="","",IF(COUNTIF(Setup!$E$8:$E$13,D188)&gt;0,"Income","Expense"))</f>
        <v/>
      </c>
      <c r="F188" s="26" t="n"/>
      <c r="G188" s="25">
        <f>IF(B188="","",MONTH(B188))</f>
        <v/>
      </c>
    </row>
    <row r="189">
      <c r="B189" s="23" t="n"/>
      <c r="C189" s="24" t="n"/>
      <c r="D189" s="24" t="n"/>
      <c r="E189" s="25">
        <f>IF(D189="","",IF(COUNTIF(Setup!$E$8:$E$13,D189)&gt;0,"Income","Expense"))</f>
        <v/>
      </c>
      <c r="F189" s="26" t="n"/>
      <c r="G189" s="25">
        <f>IF(B189="","",MONTH(B189))</f>
        <v/>
      </c>
    </row>
    <row r="190">
      <c r="B190" s="23" t="n"/>
      <c r="C190" s="24" t="n"/>
      <c r="D190" s="24" t="n"/>
      <c r="E190" s="25">
        <f>IF(D190="","",IF(COUNTIF(Setup!$E$8:$E$13,D190)&gt;0,"Income","Expense"))</f>
        <v/>
      </c>
      <c r="F190" s="26" t="n"/>
      <c r="G190" s="25">
        <f>IF(B190="","",MONTH(B190))</f>
        <v/>
      </c>
    </row>
    <row r="191">
      <c r="B191" s="23" t="n"/>
      <c r="C191" s="24" t="n"/>
      <c r="D191" s="24" t="n"/>
      <c r="E191" s="25">
        <f>IF(D191="","",IF(COUNTIF(Setup!$E$8:$E$13,D191)&gt;0,"Income","Expense"))</f>
        <v/>
      </c>
      <c r="F191" s="26" t="n"/>
      <c r="G191" s="25">
        <f>IF(B191="","",MONTH(B191))</f>
        <v/>
      </c>
    </row>
    <row r="192">
      <c r="B192" s="23" t="n"/>
      <c r="C192" s="24" t="n"/>
      <c r="D192" s="24" t="n"/>
      <c r="E192" s="25">
        <f>IF(D192="","",IF(COUNTIF(Setup!$E$8:$E$13,D192)&gt;0,"Income","Expense"))</f>
        <v/>
      </c>
      <c r="F192" s="26" t="n"/>
      <c r="G192" s="25">
        <f>IF(B192="","",MONTH(B192))</f>
        <v/>
      </c>
    </row>
    <row r="193">
      <c r="B193" s="23" t="n"/>
      <c r="C193" s="24" t="n"/>
      <c r="D193" s="24" t="n"/>
      <c r="E193" s="25">
        <f>IF(D193="","",IF(COUNTIF(Setup!$E$8:$E$13,D193)&gt;0,"Income","Expense"))</f>
        <v/>
      </c>
      <c r="F193" s="26" t="n"/>
      <c r="G193" s="25">
        <f>IF(B193="","",MONTH(B193))</f>
        <v/>
      </c>
    </row>
    <row r="194">
      <c r="B194" s="23" t="n"/>
      <c r="C194" s="24" t="n"/>
      <c r="D194" s="24" t="n"/>
      <c r="E194" s="25">
        <f>IF(D194="","",IF(COUNTIF(Setup!$E$8:$E$13,D194)&gt;0,"Income","Expense"))</f>
        <v/>
      </c>
      <c r="F194" s="26" t="n"/>
      <c r="G194" s="25">
        <f>IF(B194="","",MONTH(B194))</f>
        <v/>
      </c>
    </row>
    <row r="195">
      <c r="B195" s="23" t="n"/>
      <c r="C195" s="24" t="n"/>
      <c r="D195" s="24" t="n"/>
      <c r="E195" s="25">
        <f>IF(D195="","",IF(COUNTIF(Setup!$E$8:$E$13,D195)&gt;0,"Income","Expense"))</f>
        <v/>
      </c>
      <c r="F195" s="26" t="n"/>
      <c r="G195" s="25">
        <f>IF(B195="","",MONTH(B195))</f>
        <v/>
      </c>
    </row>
    <row r="196">
      <c r="B196" s="23" t="n"/>
      <c r="C196" s="24" t="n"/>
      <c r="D196" s="24" t="n"/>
      <c r="E196" s="25">
        <f>IF(D196="","",IF(COUNTIF(Setup!$E$8:$E$13,D196)&gt;0,"Income","Expense"))</f>
        <v/>
      </c>
      <c r="F196" s="26" t="n"/>
      <c r="G196" s="25">
        <f>IF(B196="","",MONTH(B196))</f>
        <v/>
      </c>
    </row>
    <row r="197">
      <c r="B197" s="23" t="n"/>
      <c r="C197" s="24" t="n"/>
      <c r="D197" s="24" t="n"/>
      <c r="E197" s="25">
        <f>IF(D197="","",IF(COUNTIF(Setup!$E$8:$E$13,D197)&gt;0,"Income","Expense"))</f>
        <v/>
      </c>
      <c r="F197" s="26" t="n"/>
      <c r="G197" s="25">
        <f>IF(B197="","",MONTH(B197))</f>
        <v/>
      </c>
    </row>
    <row r="198">
      <c r="B198" s="23" t="n"/>
      <c r="C198" s="24" t="n"/>
      <c r="D198" s="24" t="n"/>
      <c r="E198" s="25">
        <f>IF(D198="","",IF(COUNTIF(Setup!$E$8:$E$13,D198)&gt;0,"Income","Expense"))</f>
        <v/>
      </c>
      <c r="F198" s="26" t="n"/>
      <c r="G198" s="25">
        <f>IF(B198="","",MONTH(B198))</f>
        <v/>
      </c>
    </row>
    <row r="199">
      <c r="B199" s="23" t="n"/>
      <c r="C199" s="24" t="n"/>
      <c r="D199" s="24" t="n"/>
      <c r="E199" s="25">
        <f>IF(D199="","",IF(COUNTIF(Setup!$E$8:$E$13,D199)&gt;0,"Income","Expense"))</f>
        <v/>
      </c>
      <c r="F199" s="26" t="n"/>
      <c r="G199" s="25">
        <f>IF(B199="","",MONTH(B199))</f>
        <v/>
      </c>
    </row>
    <row r="200">
      <c r="B200" s="23" t="n"/>
      <c r="C200" s="24" t="n"/>
      <c r="D200" s="24" t="n"/>
      <c r="E200" s="25">
        <f>IF(D200="","",IF(COUNTIF(Setup!$E$8:$E$13,D200)&gt;0,"Income","Expense"))</f>
        <v/>
      </c>
      <c r="F200" s="26" t="n"/>
      <c r="G200" s="25">
        <f>IF(B200="","",MONTH(B200))</f>
        <v/>
      </c>
    </row>
    <row r="201">
      <c r="B201" s="23" t="n"/>
      <c r="C201" s="24" t="n"/>
      <c r="D201" s="24" t="n"/>
      <c r="E201" s="25">
        <f>IF(D201="","",IF(COUNTIF(Setup!$E$8:$E$13,D201)&gt;0,"Income","Expense"))</f>
        <v/>
      </c>
      <c r="F201" s="26" t="n"/>
      <c r="G201" s="25">
        <f>IF(B201="","",MONTH(B201))</f>
        <v/>
      </c>
    </row>
    <row r="202">
      <c r="B202" s="23" t="n"/>
      <c r="C202" s="24" t="n"/>
      <c r="D202" s="24" t="n"/>
      <c r="E202" s="25">
        <f>IF(D202="","",IF(COUNTIF(Setup!$E$8:$E$13,D202)&gt;0,"Income","Expense"))</f>
        <v/>
      </c>
      <c r="F202" s="26" t="n"/>
      <c r="G202" s="25">
        <f>IF(B202="","",MONTH(B202))</f>
        <v/>
      </c>
    </row>
    <row r="203">
      <c r="B203" s="23" t="n"/>
      <c r="C203" s="24" t="n"/>
      <c r="D203" s="24" t="n"/>
      <c r="E203" s="25">
        <f>IF(D203="","",IF(COUNTIF(Setup!$E$8:$E$13,D203)&gt;0,"Income","Expense"))</f>
        <v/>
      </c>
      <c r="F203" s="26" t="n"/>
      <c r="G203" s="25">
        <f>IF(B203="","",MONTH(B203))</f>
        <v/>
      </c>
    </row>
    <row r="204">
      <c r="B204" s="23" t="n"/>
      <c r="C204" s="24" t="n"/>
      <c r="D204" s="24" t="n"/>
      <c r="E204" s="25">
        <f>IF(D204="","",IF(COUNTIF(Setup!$E$8:$E$13,D204)&gt;0,"Income","Expense"))</f>
        <v/>
      </c>
      <c r="F204" s="26" t="n"/>
      <c r="G204" s="25">
        <f>IF(B204="","",MONTH(B204))</f>
        <v/>
      </c>
    </row>
    <row r="205">
      <c r="B205" s="23" t="n"/>
      <c r="C205" s="24" t="n"/>
      <c r="D205" s="24" t="n"/>
      <c r="E205" s="25">
        <f>IF(D205="","",IF(COUNTIF(Setup!$E$8:$E$13,D205)&gt;0,"Income","Expense"))</f>
        <v/>
      </c>
      <c r="F205" s="26" t="n"/>
      <c r="G205" s="25">
        <f>IF(B205="","",MONTH(B205))</f>
        <v/>
      </c>
    </row>
    <row r="206">
      <c r="B206" s="23" t="n"/>
      <c r="C206" s="24" t="n"/>
      <c r="D206" s="24" t="n"/>
      <c r="E206" s="25">
        <f>IF(D206="","",IF(COUNTIF(Setup!$E$8:$E$13,D206)&gt;0,"Income","Expense"))</f>
        <v/>
      </c>
      <c r="F206" s="26" t="n"/>
      <c r="G206" s="25">
        <f>IF(B206="","",MONTH(B206))</f>
        <v/>
      </c>
    </row>
    <row r="207">
      <c r="B207" s="23" t="n"/>
      <c r="C207" s="24" t="n"/>
      <c r="D207" s="24" t="n"/>
      <c r="E207" s="25">
        <f>IF(D207="","",IF(COUNTIF(Setup!$E$8:$E$13,D207)&gt;0,"Income","Expense"))</f>
        <v/>
      </c>
      <c r="F207" s="26" t="n"/>
      <c r="G207" s="25">
        <f>IF(B207="","",MONTH(B207))</f>
        <v/>
      </c>
    </row>
    <row r="208">
      <c r="B208" s="23" t="n"/>
      <c r="C208" s="24" t="n"/>
      <c r="D208" s="24" t="n"/>
      <c r="E208" s="25">
        <f>IF(D208="","",IF(COUNTIF(Setup!$E$8:$E$13,D208)&gt;0,"Income","Expense"))</f>
        <v/>
      </c>
      <c r="F208" s="26" t="n"/>
      <c r="G208" s="25">
        <f>IF(B208="","",MONTH(B208))</f>
        <v/>
      </c>
    </row>
    <row r="209">
      <c r="B209" s="23" t="n"/>
      <c r="C209" s="24" t="n"/>
      <c r="D209" s="24" t="n"/>
      <c r="E209" s="25">
        <f>IF(D209="","",IF(COUNTIF(Setup!$E$8:$E$13,D209)&gt;0,"Income","Expense"))</f>
        <v/>
      </c>
      <c r="F209" s="26" t="n"/>
      <c r="G209" s="25">
        <f>IF(B209="","",MONTH(B209))</f>
        <v/>
      </c>
    </row>
    <row r="210">
      <c r="B210" s="23" t="n"/>
      <c r="C210" s="24" t="n"/>
      <c r="D210" s="24" t="n"/>
      <c r="E210" s="25">
        <f>IF(D210="","",IF(COUNTIF(Setup!$E$8:$E$13,D210)&gt;0,"Income","Expense"))</f>
        <v/>
      </c>
      <c r="F210" s="26" t="n"/>
      <c r="G210" s="25">
        <f>IF(B210="","",MONTH(B210))</f>
        <v/>
      </c>
    </row>
    <row r="211">
      <c r="B211" s="23" t="n"/>
      <c r="C211" s="24" t="n"/>
      <c r="D211" s="24" t="n"/>
      <c r="E211" s="25">
        <f>IF(D211="","",IF(COUNTIF(Setup!$E$8:$E$13,D211)&gt;0,"Income","Expense"))</f>
        <v/>
      </c>
      <c r="F211" s="26" t="n"/>
      <c r="G211" s="25">
        <f>IF(B211="","",MONTH(B211))</f>
        <v/>
      </c>
    </row>
    <row r="212">
      <c r="B212" s="23" t="n"/>
      <c r="C212" s="24" t="n"/>
      <c r="D212" s="24" t="n"/>
      <c r="E212" s="25">
        <f>IF(D212="","",IF(COUNTIF(Setup!$E$8:$E$13,D212)&gt;0,"Income","Expense"))</f>
        <v/>
      </c>
      <c r="F212" s="26" t="n"/>
      <c r="G212" s="25">
        <f>IF(B212="","",MONTH(B212))</f>
        <v/>
      </c>
    </row>
    <row r="213">
      <c r="B213" s="23" t="n"/>
      <c r="C213" s="24" t="n"/>
      <c r="D213" s="24" t="n"/>
      <c r="E213" s="25">
        <f>IF(D213="","",IF(COUNTIF(Setup!$E$8:$E$13,D213)&gt;0,"Income","Expense"))</f>
        <v/>
      </c>
      <c r="F213" s="26" t="n"/>
      <c r="G213" s="25">
        <f>IF(B213="","",MONTH(B213))</f>
        <v/>
      </c>
    </row>
    <row r="214">
      <c r="B214" s="23" t="n"/>
      <c r="C214" s="24" t="n"/>
      <c r="D214" s="24" t="n"/>
      <c r="E214" s="25">
        <f>IF(D214="","",IF(COUNTIF(Setup!$E$8:$E$13,D214)&gt;0,"Income","Expense"))</f>
        <v/>
      </c>
      <c r="F214" s="26" t="n"/>
      <c r="G214" s="25">
        <f>IF(B214="","",MONTH(B214))</f>
        <v/>
      </c>
    </row>
    <row r="215">
      <c r="B215" s="23" t="n"/>
      <c r="C215" s="24" t="n"/>
      <c r="D215" s="24" t="n"/>
      <c r="E215" s="25">
        <f>IF(D215="","",IF(COUNTIF(Setup!$E$8:$E$13,D215)&gt;0,"Income","Expense"))</f>
        <v/>
      </c>
      <c r="F215" s="26" t="n"/>
      <c r="G215" s="25">
        <f>IF(B215="","",MONTH(B215))</f>
        <v/>
      </c>
    </row>
    <row r="216">
      <c r="B216" s="23" t="n"/>
      <c r="C216" s="24" t="n"/>
      <c r="D216" s="24" t="n"/>
      <c r="E216" s="25">
        <f>IF(D216="","",IF(COUNTIF(Setup!$E$8:$E$13,D216)&gt;0,"Income","Expense"))</f>
        <v/>
      </c>
      <c r="F216" s="26" t="n"/>
      <c r="G216" s="25">
        <f>IF(B216="","",MONTH(B216))</f>
        <v/>
      </c>
    </row>
    <row r="217">
      <c r="B217" s="23" t="n"/>
      <c r="C217" s="24" t="n"/>
      <c r="D217" s="24" t="n"/>
      <c r="E217" s="25">
        <f>IF(D217="","",IF(COUNTIF(Setup!$E$8:$E$13,D217)&gt;0,"Income","Expense"))</f>
        <v/>
      </c>
      <c r="F217" s="26" t="n"/>
      <c r="G217" s="25">
        <f>IF(B217="","",MONTH(B217))</f>
        <v/>
      </c>
    </row>
    <row r="218">
      <c r="B218" s="23" t="n"/>
      <c r="C218" s="24" t="n"/>
      <c r="D218" s="24" t="n"/>
      <c r="E218" s="25">
        <f>IF(D218="","",IF(COUNTIF(Setup!$E$8:$E$13,D218)&gt;0,"Income","Expense"))</f>
        <v/>
      </c>
      <c r="F218" s="26" t="n"/>
      <c r="G218" s="25">
        <f>IF(B218="","",MONTH(B218))</f>
        <v/>
      </c>
    </row>
    <row r="219">
      <c r="B219" s="23" t="n"/>
      <c r="C219" s="24" t="n"/>
      <c r="D219" s="24" t="n"/>
      <c r="E219" s="25">
        <f>IF(D219="","",IF(COUNTIF(Setup!$E$8:$E$13,D219)&gt;0,"Income","Expense"))</f>
        <v/>
      </c>
      <c r="F219" s="26" t="n"/>
      <c r="G219" s="25">
        <f>IF(B219="","",MONTH(B219))</f>
        <v/>
      </c>
    </row>
    <row r="220">
      <c r="B220" s="23" t="n"/>
      <c r="C220" s="24" t="n"/>
      <c r="D220" s="24" t="n"/>
      <c r="E220" s="25">
        <f>IF(D220="","",IF(COUNTIF(Setup!$E$8:$E$13,D220)&gt;0,"Income","Expense"))</f>
        <v/>
      </c>
      <c r="F220" s="26" t="n"/>
      <c r="G220" s="25">
        <f>IF(B220="","",MONTH(B220))</f>
        <v/>
      </c>
    </row>
    <row r="221">
      <c r="B221" s="23" t="n"/>
      <c r="C221" s="24" t="n"/>
      <c r="D221" s="24" t="n"/>
      <c r="E221" s="25">
        <f>IF(D221="","",IF(COUNTIF(Setup!$E$8:$E$13,D221)&gt;0,"Income","Expense"))</f>
        <v/>
      </c>
      <c r="F221" s="26" t="n"/>
      <c r="G221" s="25">
        <f>IF(B221="","",MONTH(B221))</f>
        <v/>
      </c>
    </row>
    <row r="222">
      <c r="B222" s="23" t="n"/>
      <c r="C222" s="24" t="n"/>
      <c r="D222" s="24" t="n"/>
      <c r="E222" s="25">
        <f>IF(D222="","",IF(COUNTIF(Setup!$E$8:$E$13,D222)&gt;0,"Income","Expense"))</f>
        <v/>
      </c>
      <c r="F222" s="26" t="n"/>
      <c r="G222" s="25">
        <f>IF(B222="","",MONTH(B222))</f>
        <v/>
      </c>
    </row>
    <row r="223">
      <c r="B223" s="23" t="n"/>
      <c r="C223" s="24" t="n"/>
      <c r="D223" s="24" t="n"/>
      <c r="E223" s="25">
        <f>IF(D223="","",IF(COUNTIF(Setup!$E$8:$E$13,D223)&gt;0,"Income","Expense"))</f>
        <v/>
      </c>
      <c r="F223" s="26" t="n"/>
      <c r="G223" s="25">
        <f>IF(B223="","",MONTH(B223))</f>
        <v/>
      </c>
    </row>
    <row r="224">
      <c r="B224" s="23" t="n"/>
      <c r="C224" s="24" t="n"/>
      <c r="D224" s="24" t="n"/>
      <c r="E224" s="25">
        <f>IF(D224="","",IF(COUNTIF(Setup!$E$8:$E$13,D224)&gt;0,"Income","Expense"))</f>
        <v/>
      </c>
      <c r="F224" s="26" t="n"/>
      <c r="G224" s="25">
        <f>IF(B224="","",MONTH(B224))</f>
        <v/>
      </c>
    </row>
    <row r="225">
      <c r="B225" s="23" t="n"/>
      <c r="C225" s="24" t="n"/>
      <c r="D225" s="24" t="n"/>
      <c r="E225" s="25">
        <f>IF(D225="","",IF(COUNTIF(Setup!$E$8:$E$13,D225)&gt;0,"Income","Expense"))</f>
        <v/>
      </c>
      <c r="F225" s="26" t="n"/>
      <c r="G225" s="25">
        <f>IF(B225="","",MONTH(B225))</f>
        <v/>
      </c>
    </row>
    <row r="226">
      <c r="B226" s="23" t="n"/>
      <c r="C226" s="24" t="n"/>
      <c r="D226" s="24" t="n"/>
      <c r="E226" s="25">
        <f>IF(D226="","",IF(COUNTIF(Setup!$E$8:$E$13,D226)&gt;0,"Income","Expense"))</f>
        <v/>
      </c>
      <c r="F226" s="26" t="n"/>
      <c r="G226" s="25">
        <f>IF(B226="","",MONTH(B226))</f>
        <v/>
      </c>
    </row>
    <row r="227">
      <c r="B227" s="23" t="n"/>
      <c r="C227" s="24" t="n"/>
      <c r="D227" s="24" t="n"/>
      <c r="E227" s="25">
        <f>IF(D227="","",IF(COUNTIF(Setup!$E$8:$E$13,D227)&gt;0,"Income","Expense"))</f>
        <v/>
      </c>
      <c r="F227" s="26" t="n"/>
      <c r="G227" s="25">
        <f>IF(B227="","",MONTH(B227))</f>
        <v/>
      </c>
    </row>
    <row r="228">
      <c r="B228" s="23" t="n"/>
      <c r="C228" s="24" t="n"/>
      <c r="D228" s="24" t="n"/>
      <c r="E228" s="25">
        <f>IF(D228="","",IF(COUNTIF(Setup!$E$8:$E$13,D228)&gt;0,"Income","Expense"))</f>
        <v/>
      </c>
      <c r="F228" s="26" t="n"/>
      <c r="G228" s="25">
        <f>IF(B228="","",MONTH(B228))</f>
        <v/>
      </c>
    </row>
    <row r="229">
      <c r="B229" s="23" t="n"/>
      <c r="C229" s="24" t="n"/>
      <c r="D229" s="24" t="n"/>
      <c r="E229" s="25">
        <f>IF(D229="","",IF(COUNTIF(Setup!$E$8:$E$13,D229)&gt;0,"Income","Expense"))</f>
        <v/>
      </c>
      <c r="F229" s="26" t="n"/>
      <c r="G229" s="25">
        <f>IF(B229="","",MONTH(B229))</f>
        <v/>
      </c>
    </row>
    <row r="230">
      <c r="B230" s="23" t="n"/>
      <c r="C230" s="24" t="n"/>
      <c r="D230" s="24" t="n"/>
      <c r="E230" s="25">
        <f>IF(D230="","",IF(COUNTIF(Setup!$E$8:$E$13,D230)&gt;0,"Income","Expense"))</f>
        <v/>
      </c>
      <c r="F230" s="26" t="n"/>
      <c r="G230" s="25">
        <f>IF(B230="","",MONTH(B230))</f>
        <v/>
      </c>
    </row>
    <row r="231">
      <c r="B231" s="23" t="n"/>
      <c r="C231" s="24" t="n"/>
      <c r="D231" s="24" t="n"/>
      <c r="E231" s="25">
        <f>IF(D231="","",IF(COUNTIF(Setup!$E$8:$E$13,D231)&gt;0,"Income","Expense"))</f>
        <v/>
      </c>
      <c r="F231" s="26" t="n"/>
      <c r="G231" s="25">
        <f>IF(B231="","",MONTH(B231))</f>
        <v/>
      </c>
    </row>
    <row r="232">
      <c r="B232" s="23" t="n"/>
      <c r="C232" s="24" t="n"/>
      <c r="D232" s="24" t="n"/>
      <c r="E232" s="25">
        <f>IF(D232="","",IF(COUNTIF(Setup!$E$8:$E$13,D232)&gt;0,"Income","Expense"))</f>
        <v/>
      </c>
      <c r="F232" s="26" t="n"/>
      <c r="G232" s="25">
        <f>IF(B232="","",MONTH(B232))</f>
        <v/>
      </c>
    </row>
    <row r="233">
      <c r="B233" s="23" t="n"/>
      <c r="C233" s="24" t="n"/>
      <c r="D233" s="24" t="n"/>
      <c r="E233" s="25">
        <f>IF(D233="","",IF(COUNTIF(Setup!$E$8:$E$13,D233)&gt;0,"Income","Expense"))</f>
        <v/>
      </c>
      <c r="F233" s="26" t="n"/>
      <c r="G233" s="25">
        <f>IF(B233="","",MONTH(B233))</f>
        <v/>
      </c>
    </row>
    <row r="234">
      <c r="B234" s="23" t="n"/>
      <c r="C234" s="24" t="n"/>
      <c r="D234" s="24" t="n"/>
      <c r="E234" s="25">
        <f>IF(D234="","",IF(COUNTIF(Setup!$E$8:$E$13,D234)&gt;0,"Income","Expense"))</f>
        <v/>
      </c>
      <c r="F234" s="26" t="n"/>
      <c r="G234" s="25">
        <f>IF(B234="","",MONTH(B234))</f>
        <v/>
      </c>
    </row>
    <row r="235">
      <c r="B235" s="23" t="n"/>
      <c r="C235" s="24" t="n"/>
      <c r="D235" s="24" t="n"/>
      <c r="E235" s="25">
        <f>IF(D235="","",IF(COUNTIF(Setup!$E$8:$E$13,D235)&gt;0,"Income","Expense"))</f>
        <v/>
      </c>
      <c r="F235" s="26" t="n"/>
      <c r="G235" s="25">
        <f>IF(B235="","",MONTH(B235))</f>
        <v/>
      </c>
    </row>
    <row r="236">
      <c r="B236" s="23" t="n"/>
      <c r="C236" s="24" t="n"/>
      <c r="D236" s="24" t="n"/>
      <c r="E236" s="25">
        <f>IF(D236="","",IF(COUNTIF(Setup!$E$8:$E$13,D236)&gt;0,"Income","Expense"))</f>
        <v/>
      </c>
      <c r="F236" s="26" t="n"/>
      <c r="G236" s="25">
        <f>IF(B236="","",MONTH(B236))</f>
        <v/>
      </c>
    </row>
    <row r="237">
      <c r="B237" s="23" t="n"/>
      <c r="C237" s="24" t="n"/>
      <c r="D237" s="24" t="n"/>
      <c r="E237" s="25">
        <f>IF(D237="","",IF(COUNTIF(Setup!$E$8:$E$13,D237)&gt;0,"Income","Expense"))</f>
        <v/>
      </c>
      <c r="F237" s="26" t="n"/>
      <c r="G237" s="25">
        <f>IF(B237="","",MONTH(B237))</f>
        <v/>
      </c>
    </row>
    <row r="238">
      <c r="B238" s="23" t="n"/>
      <c r="C238" s="24" t="n"/>
      <c r="D238" s="24" t="n"/>
      <c r="E238" s="25">
        <f>IF(D238="","",IF(COUNTIF(Setup!$E$8:$E$13,D238)&gt;0,"Income","Expense"))</f>
        <v/>
      </c>
      <c r="F238" s="26" t="n"/>
      <c r="G238" s="25">
        <f>IF(B238="","",MONTH(B238))</f>
        <v/>
      </c>
    </row>
    <row r="239">
      <c r="B239" s="23" t="n"/>
      <c r="C239" s="24" t="n"/>
      <c r="D239" s="24" t="n"/>
      <c r="E239" s="25">
        <f>IF(D239="","",IF(COUNTIF(Setup!$E$8:$E$13,D239)&gt;0,"Income","Expense"))</f>
        <v/>
      </c>
      <c r="F239" s="26" t="n"/>
      <c r="G239" s="25">
        <f>IF(B239="","",MONTH(B239))</f>
        <v/>
      </c>
    </row>
    <row r="240">
      <c r="B240" s="23" t="n"/>
      <c r="C240" s="24" t="n"/>
      <c r="D240" s="24" t="n"/>
      <c r="E240" s="25">
        <f>IF(D240="","",IF(COUNTIF(Setup!$E$8:$E$13,D240)&gt;0,"Income","Expense"))</f>
        <v/>
      </c>
      <c r="F240" s="26" t="n"/>
      <c r="G240" s="25">
        <f>IF(B240="","",MONTH(B240))</f>
        <v/>
      </c>
    </row>
    <row r="241">
      <c r="B241" s="23" t="n"/>
      <c r="C241" s="24" t="n"/>
      <c r="D241" s="24" t="n"/>
      <c r="E241" s="25">
        <f>IF(D241="","",IF(COUNTIF(Setup!$E$8:$E$13,D241)&gt;0,"Income","Expense"))</f>
        <v/>
      </c>
      <c r="F241" s="26" t="n"/>
      <c r="G241" s="25">
        <f>IF(B241="","",MONTH(B241))</f>
        <v/>
      </c>
    </row>
    <row r="242">
      <c r="B242" s="23" t="n"/>
      <c r="C242" s="24" t="n"/>
      <c r="D242" s="24" t="n"/>
      <c r="E242" s="25">
        <f>IF(D242="","",IF(COUNTIF(Setup!$E$8:$E$13,D242)&gt;0,"Income","Expense"))</f>
        <v/>
      </c>
      <c r="F242" s="26" t="n"/>
      <c r="G242" s="25">
        <f>IF(B242="","",MONTH(B242))</f>
        <v/>
      </c>
    </row>
    <row r="243">
      <c r="B243" s="23" t="n"/>
      <c r="C243" s="24" t="n"/>
      <c r="D243" s="24" t="n"/>
      <c r="E243" s="25">
        <f>IF(D243="","",IF(COUNTIF(Setup!$E$8:$E$13,D243)&gt;0,"Income","Expense"))</f>
        <v/>
      </c>
      <c r="F243" s="26" t="n"/>
      <c r="G243" s="25">
        <f>IF(B243="","",MONTH(B243))</f>
        <v/>
      </c>
    </row>
    <row r="244">
      <c r="B244" s="23" t="n"/>
      <c r="C244" s="24" t="n"/>
      <c r="D244" s="24" t="n"/>
      <c r="E244" s="25">
        <f>IF(D244="","",IF(COUNTIF(Setup!$E$8:$E$13,D244)&gt;0,"Income","Expense"))</f>
        <v/>
      </c>
      <c r="F244" s="26" t="n"/>
      <c r="G244" s="25">
        <f>IF(B244="","",MONTH(B244))</f>
        <v/>
      </c>
    </row>
    <row r="245">
      <c r="B245" s="23" t="n"/>
      <c r="C245" s="24" t="n"/>
      <c r="D245" s="24" t="n"/>
      <c r="E245" s="25">
        <f>IF(D245="","",IF(COUNTIF(Setup!$E$8:$E$13,D245)&gt;0,"Income","Expense"))</f>
        <v/>
      </c>
      <c r="F245" s="26" t="n"/>
      <c r="G245" s="25">
        <f>IF(B245="","",MONTH(B245))</f>
        <v/>
      </c>
    </row>
    <row r="246">
      <c r="B246" s="23" t="n"/>
      <c r="C246" s="24" t="n"/>
      <c r="D246" s="24" t="n"/>
      <c r="E246" s="25">
        <f>IF(D246="","",IF(COUNTIF(Setup!$E$8:$E$13,D246)&gt;0,"Income","Expense"))</f>
        <v/>
      </c>
      <c r="F246" s="26" t="n"/>
      <c r="G246" s="25">
        <f>IF(B246="","",MONTH(B246))</f>
        <v/>
      </c>
    </row>
    <row r="247">
      <c r="B247" s="23" t="n"/>
      <c r="C247" s="24" t="n"/>
      <c r="D247" s="24" t="n"/>
      <c r="E247" s="25">
        <f>IF(D247="","",IF(COUNTIF(Setup!$E$8:$E$13,D247)&gt;0,"Income","Expense"))</f>
        <v/>
      </c>
      <c r="F247" s="26" t="n"/>
      <c r="G247" s="25">
        <f>IF(B247="","",MONTH(B247))</f>
        <v/>
      </c>
    </row>
    <row r="248">
      <c r="B248" s="23" t="n"/>
      <c r="C248" s="24" t="n"/>
      <c r="D248" s="24" t="n"/>
      <c r="E248" s="25">
        <f>IF(D248="","",IF(COUNTIF(Setup!$E$8:$E$13,D248)&gt;0,"Income","Expense"))</f>
        <v/>
      </c>
      <c r="F248" s="26" t="n"/>
      <c r="G248" s="25">
        <f>IF(B248="","",MONTH(B248))</f>
        <v/>
      </c>
    </row>
    <row r="249">
      <c r="B249" s="23" t="n"/>
      <c r="C249" s="24" t="n"/>
      <c r="D249" s="24" t="n"/>
      <c r="E249" s="25">
        <f>IF(D249="","",IF(COUNTIF(Setup!$E$8:$E$13,D249)&gt;0,"Income","Expense"))</f>
        <v/>
      </c>
      <c r="F249" s="26" t="n"/>
      <c r="G249" s="25">
        <f>IF(B249="","",MONTH(B249))</f>
        <v/>
      </c>
    </row>
    <row r="250">
      <c r="B250" s="23" t="n"/>
      <c r="C250" s="24" t="n"/>
      <c r="D250" s="24" t="n"/>
      <c r="E250" s="25">
        <f>IF(D250="","",IF(COUNTIF(Setup!$E$8:$E$13,D250)&gt;0,"Income","Expense"))</f>
        <v/>
      </c>
      <c r="F250" s="26" t="n"/>
      <c r="G250" s="25">
        <f>IF(B250="","",MONTH(B250))</f>
        <v/>
      </c>
    </row>
    <row r="251">
      <c r="B251" s="23" t="n"/>
      <c r="C251" s="24" t="n"/>
      <c r="D251" s="24" t="n"/>
      <c r="E251" s="25">
        <f>IF(D251="","",IF(COUNTIF(Setup!$E$8:$E$13,D251)&gt;0,"Income","Expense"))</f>
        <v/>
      </c>
      <c r="F251" s="26" t="n"/>
      <c r="G251" s="25">
        <f>IF(B251="","",MONTH(B251))</f>
        <v/>
      </c>
    </row>
    <row r="252">
      <c r="B252" s="23" t="n"/>
      <c r="C252" s="24" t="n"/>
      <c r="D252" s="24" t="n"/>
      <c r="E252" s="25">
        <f>IF(D252="","",IF(COUNTIF(Setup!$E$8:$E$13,D252)&gt;0,"Income","Expense"))</f>
        <v/>
      </c>
      <c r="F252" s="26" t="n"/>
      <c r="G252" s="25">
        <f>IF(B252="","",MONTH(B252))</f>
        <v/>
      </c>
    </row>
    <row r="253">
      <c r="B253" s="23" t="n"/>
      <c r="C253" s="24" t="n"/>
      <c r="D253" s="24" t="n"/>
      <c r="E253" s="25">
        <f>IF(D253="","",IF(COUNTIF(Setup!$E$8:$E$13,D253)&gt;0,"Income","Expense"))</f>
        <v/>
      </c>
      <c r="F253" s="26" t="n"/>
      <c r="G253" s="25">
        <f>IF(B253="","",MONTH(B253))</f>
        <v/>
      </c>
    </row>
    <row r="254">
      <c r="B254" s="23" t="n"/>
      <c r="C254" s="24" t="n"/>
      <c r="D254" s="24" t="n"/>
      <c r="E254" s="25">
        <f>IF(D254="","",IF(COUNTIF(Setup!$E$8:$E$13,D254)&gt;0,"Income","Expense"))</f>
        <v/>
      </c>
      <c r="F254" s="26" t="n"/>
      <c r="G254" s="25">
        <f>IF(B254="","",MONTH(B254))</f>
        <v/>
      </c>
    </row>
    <row r="255">
      <c r="B255" s="23" t="n"/>
      <c r="C255" s="24" t="n"/>
      <c r="D255" s="24" t="n"/>
      <c r="E255" s="25">
        <f>IF(D255="","",IF(COUNTIF(Setup!$E$8:$E$13,D255)&gt;0,"Income","Expense"))</f>
        <v/>
      </c>
      <c r="F255" s="26" t="n"/>
      <c r="G255" s="25">
        <f>IF(B255="","",MONTH(B255))</f>
        <v/>
      </c>
    </row>
    <row r="256">
      <c r="B256" s="23" t="n"/>
      <c r="C256" s="24" t="n"/>
      <c r="D256" s="24" t="n"/>
      <c r="E256" s="25">
        <f>IF(D256="","",IF(COUNTIF(Setup!$E$8:$E$13,D256)&gt;0,"Income","Expense"))</f>
        <v/>
      </c>
      <c r="F256" s="26" t="n"/>
      <c r="G256" s="25">
        <f>IF(B256="","",MONTH(B256))</f>
        <v/>
      </c>
    </row>
    <row r="257">
      <c r="B257" s="23" t="n"/>
      <c r="C257" s="24" t="n"/>
      <c r="D257" s="24" t="n"/>
      <c r="E257" s="25">
        <f>IF(D257="","",IF(COUNTIF(Setup!$E$8:$E$13,D257)&gt;0,"Income","Expense"))</f>
        <v/>
      </c>
      <c r="F257" s="26" t="n"/>
      <c r="G257" s="25">
        <f>IF(B257="","",MONTH(B257))</f>
        <v/>
      </c>
    </row>
    <row r="258">
      <c r="B258" s="23" t="n"/>
      <c r="C258" s="24" t="n"/>
      <c r="D258" s="24" t="n"/>
      <c r="E258" s="25">
        <f>IF(D258="","",IF(COUNTIF(Setup!$E$8:$E$13,D258)&gt;0,"Income","Expense"))</f>
        <v/>
      </c>
      <c r="F258" s="26" t="n"/>
      <c r="G258" s="25">
        <f>IF(B258="","",MONTH(B258))</f>
        <v/>
      </c>
    </row>
    <row r="259">
      <c r="B259" s="23" t="n"/>
      <c r="C259" s="24" t="n"/>
      <c r="D259" s="24" t="n"/>
      <c r="E259" s="25">
        <f>IF(D259="","",IF(COUNTIF(Setup!$E$8:$E$13,D259)&gt;0,"Income","Expense"))</f>
        <v/>
      </c>
      <c r="F259" s="26" t="n"/>
      <c r="G259" s="25">
        <f>IF(B259="","",MONTH(B259))</f>
        <v/>
      </c>
    </row>
    <row r="260">
      <c r="B260" s="23" t="n"/>
      <c r="C260" s="24" t="n"/>
      <c r="D260" s="24" t="n"/>
      <c r="E260" s="25">
        <f>IF(D260="","",IF(COUNTIF(Setup!$E$8:$E$13,D260)&gt;0,"Income","Expense"))</f>
        <v/>
      </c>
      <c r="F260" s="26" t="n"/>
      <c r="G260" s="25">
        <f>IF(B260="","",MONTH(B260))</f>
        <v/>
      </c>
    </row>
    <row r="261">
      <c r="B261" s="23" t="n"/>
      <c r="C261" s="24" t="n"/>
      <c r="D261" s="24" t="n"/>
      <c r="E261" s="25">
        <f>IF(D261="","",IF(COUNTIF(Setup!$E$8:$E$13,D261)&gt;0,"Income","Expense"))</f>
        <v/>
      </c>
      <c r="F261" s="26" t="n"/>
      <c r="G261" s="25">
        <f>IF(B261="","",MONTH(B261))</f>
        <v/>
      </c>
    </row>
    <row r="262">
      <c r="B262" s="23" t="n"/>
      <c r="C262" s="24" t="n"/>
      <c r="D262" s="24" t="n"/>
      <c r="E262" s="25">
        <f>IF(D262="","",IF(COUNTIF(Setup!$E$8:$E$13,D262)&gt;0,"Income","Expense"))</f>
        <v/>
      </c>
      <c r="F262" s="26" t="n"/>
      <c r="G262" s="25">
        <f>IF(B262="","",MONTH(B262))</f>
        <v/>
      </c>
    </row>
    <row r="263">
      <c r="B263" s="23" t="n"/>
      <c r="C263" s="24" t="n"/>
      <c r="D263" s="24" t="n"/>
      <c r="E263" s="25">
        <f>IF(D263="","",IF(COUNTIF(Setup!$E$8:$E$13,D263)&gt;0,"Income","Expense"))</f>
        <v/>
      </c>
      <c r="F263" s="26" t="n"/>
      <c r="G263" s="25">
        <f>IF(B263="","",MONTH(B263))</f>
        <v/>
      </c>
    </row>
    <row r="264">
      <c r="B264" s="23" t="n"/>
      <c r="C264" s="24" t="n"/>
      <c r="D264" s="24" t="n"/>
      <c r="E264" s="25">
        <f>IF(D264="","",IF(COUNTIF(Setup!$E$8:$E$13,D264)&gt;0,"Income","Expense"))</f>
        <v/>
      </c>
      <c r="F264" s="26" t="n"/>
      <c r="G264" s="25">
        <f>IF(B264="","",MONTH(B264))</f>
        <v/>
      </c>
    </row>
    <row r="265">
      <c r="B265" s="23" t="n"/>
      <c r="C265" s="24" t="n"/>
      <c r="D265" s="24" t="n"/>
      <c r="E265" s="25">
        <f>IF(D265="","",IF(COUNTIF(Setup!$E$8:$E$13,D265)&gt;0,"Income","Expense"))</f>
        <v/>
      </c>
      <c r="F265" s="26" t="n"/>
      <c r="G265" s="25">
        <f>IF(B265="","",MONTH(B265))</f>
        <v/>
      </c>
    </row>
    <row r="266">
      <c r="B266" s="23" t="n"/>
      <c r="C266" s="24" t="n"/>
      <c r="D266" s="24" t="n"/>
      <c r="E266" s="25">
        <f>IF(D266="","",IF(COUNTIF(Setup!$E$8:$E$13,D266)&gt;0,"Income","Expense"))</f>
        <v/>
      </c>
      <c r="F266" s="26" t="n"/>
      <c r="G266" s="25">
        <f>IF(B266="","",MONTH(B266))</f>
        <v/>
      </c>
    </row>
    <row r="267">
      <c r="B267" s="23" t="n"/>
      <c r="C267" s="24" t="n"/>
      <c r="D267" s="24" t="n"/>
      <c r="E267" s="25">
        <f>IF(D267="","",IF(COUNTIF(Setup!$E$8:$E$13,D267)&gt;0,"Income","Expense"))</f>
        <v/>
      </c>
      <c r="F267" s="26" t="n"/>
      <c r="G267" s="25">
        <f>IF(B267="","",MONTH(B267))</f>
        <v/>
      </c>
    </row>
    <row r="268">
      <c r="B268" s="23" t="n"/>
      <c r="C268" s="24" t="n"/>
      <c r="D268" s="24" t="n"/>
      <c r="E268" s="25">
        <f>IF(D268="","",IF(COUNTIF(Setup!$E$8:$E$13,D268)&gt;0,"Income","Expense"))</f>
        <v/>
      </c>
      <c r="F268" s="26" t="n"/>
      <c r="G268" s="25">
        <f>IF(B268="","",MONTH(B268))</f>
        <v/>
      </c>
    </row>
    <row r="269">
      <c r="B269" s="23" t="n"/>
      <c r="C269" s="24" t="n"/>
      <c r="D269" s="24" t="n"/>
      <c r="E269" s="25">
        <f>IF(D269="","",IF(COUNTIF(Setup!$E$8:$E$13,D269)&gt;0,"Income","Expense"))</f>
        <v/>
      </c>
      <c r="F269" s="26" t="n"/>
      <c r="G269" s="25">
        <f>IF(B269="","",MONTH(B269))</f>
        <v/>
      </c>
    </row>
    <row r="270">
      <c r="B270" s="23" t="n"/>
      <c r="C270" s="24" t="n"/>
      <c r="D270" s="24" t="n"/>
      <c r="E270" s="25">
        <f>IF(D270="","",IF(COUNTIF(Setup!$E$8:$E$13,D270)&gt;0,"Income","Expense"))</f>
        <v/>
      </c>
      <c r="F270" s="26" t="n"/>
      <c r="G270" s="25">
        <f>IF(B270="","",MONTH(B270))</f>
        <v/>
      </c>
    </row>
    <row r="271">
      <c r="B271" s="23" t="n"/>
      <c r="C271" s="24" t="n"/>
      <c r="D271" s="24" t="n"/>
      <c r="E271" s="25">
        <f>IF(D271="","",IF(COUNTIF(Setup!$E$8:$E$13,D271)&gt;0,"Income","Expense"))</f>
        <v/>
      </c>
      <c r="F271" s="26" t="n"/>
      <c r="G271" s="25">
        <f>IF(B271="","",MONTH(B271))</f>
        <v/>
      </c>
    </row>
    <row r="272">
      <c r="B272" s="23" t="n"/>
      <c r="C272" s="24" t="n"/>
      <c r="D272" s="24" t="n"/>
      <c r="E272" s="25">
        <f>IF(D272="","",IF(COUNTIF(Setup!$E$8:$E$13,D272)&gt;0,"Income","Expense"))</f>
        <v/>
      </c>
      <c r="F272" s="26" t="n"/>
      <c r="G272" s="25">
        <f>IF(B272="","",MONTH(B272))</f>
        <v/>
      </c>
    </row>
    <row r="273">
      <c r="B273" s="23" t="n"/>
      <c r="C273" s="24" t="n"/>
      <c r="D273" s="24" t="n"/>
      <c r="E273" s="25">
        <f>IF(D273="","",IF(COUNTIF(Setup!$E$8:$E$13,D273)&gt;0,"Income","Expense"))</f>
        <v/>
      </c>
      <c r="F273" s="26" t="n"/>
      <c r="G273" s="25">
        <f>IF(B273="","",MONTH(B273))</f>
        <v/>
      </c>
    </row>
    <row r="274">
      <c r="B274" s="23" t="n"/>
      <c r="C274" s="24" t="n"/>
      <c r="D274" s="24" t="n"/>
      <c r="E274" s="25">
        <f>IF(D274="","",IF(COUNTIF(Setup!$E$8:$E$13,D274)&gt;0,"Income","Expense"))</f>
        <v/>
      </c>
      <c r="F274" s="26" t="n"/>
      <c r="G274" s="25">
        <f>IF(B274="","",MONTH(B274))</f>
        <v/>
      </c>
    </row>
    <row r="275">
      <c r="B275" s="23" t="n"/>
      <c r="C275" s="24" t="n"/>
      <c r="D275" s="24" t="n"/>
      <c r="E275" s="25">
        <f>IF(D275="","",IF(COUNTIF(Setup!$E$8:$E$13,D275)&gt;0,"Income","Expense"))</f>
        <v/>
      </c>
      <c r="F275" s="26" t="n"/>
      <c r="G275" s="25">
        <f>IF(B275="","",MONTH(B275))</f>
        <v/>
      </c>
    </row>
    <row r="276">
      <c r="B276" s="23" t="n"/>
      <c r="C276" s="24" t="n"/>
      <c r="D276" s="24" t="n"/>
      <c r="E276" s="25">
        <f>IF(D276="","",IF(COUNTIF(Setup!$E$8:$E$13,D276)&gt;0,"Income","Expense"))</f>
        <v/>
      </c>
      <c r="F276" s="26" t="n"/>
      <c r="G276" s="25">
        <f>IF(B276="","",MONTH(B276))</f>
        <v/>
      </c>
    </row>
    <row r="277">
      <c r="B277" s="23" t="n"/>
      <c r="C277" s="24" t="n"/>
      <c r="D277" s="24" t="n"/>
      <c r="E277" s="25">
        <f>IF(D277="","",IF(COUNTIF(Setup!$E$8:$E$13,D277)&gt;0,"Income","Expense"))</f>
        <v/>
      </c>
      <c r="F277" s="26" t="n"/>
      <c r="G277" s="25">
        <f>IF(B277="","",MONTH(B277))</f>
        <v/>
      </c>
    </row>
    <row r="278">
      <c r="B278" s="23" t="n"/>
      <c r="C278" s="24" t="n"/>
      <c r="D278" s="24" t="n"/>
      <c r="E278" s="25">
        <f>IF(D278="","",IF(COUNTIF(Setup!$E$8:$E$13,D278)&gt;0,"Income","Expense"))</f>
        <v/>
      </c>
      <c r="F278" s="26" t="n"/>
      <c r="G278" s="25">
        <f>IF(B278="","",MONTH(B278))</f>
        <v/>
      </c>
    </row>
    <row r="279">
      <c r="B279" s="23" t="n"/>
      <c r="C279" s="24" t="n"/>
      <c r="D279" s="24" t="n"/>
      <c r="E279" s="25">
        <f>IF(D279="","",IF(COUNTIF(Setup!$E$8:$E$13,D279)&gt;0,"Income","Expense"))</f>
        <v/>
      </c>
      <c r="F279" s="26" t="n"/>
      <c r="G279" s="25">
        <f>IF(B279="","",MONTH(B279))</f>
        <v/>
      </c>
    </row>
    <row r="280">
      <c r="B280" s="23" t="n"/>
      <c r="C280" s="24" t="n"/>
      <c r="D280" s="24" t="n"/>
      <c r="E280" s="25">
        <f>IF(D280="","",IF(COUNTIF(Setup!$E$8:$E$13,D280)&gt;0,"Income","Expense"))</f>
        <v/>
      </c>
      <c r="F280" s="26" t="n"/>
      <c r="G280" s="25">
        <f>IF(B280="","",MONTH(B280))</f>
        <v/>
      </c>
    </row>
    <row r="281">
      <c r="B281" s="23" t="n"/>
      <c r="C281" s="24" t="n"/>
      <c r="D281" s="24" t="n"/>
      <c r="E281" s="25">
        <f>IF(D281="","",IF(COUNTIF(Setup!$E$8:$E$13,D281)&gt;0,"Income","Expense"))</f>
        <v/>
      </c>
      <c r="F281" s="26" t="n"/>
      <c r="G281" s="25">
        <f>IF(B281="","",MONTH(B281))</f>
        <v/>
      </c>
    </row>
    <row r="282">
      <c r="B282" s="23" t="n"/>
      <c r="C282" s="24" t="n"/>
      <c r="D282" s="24" t="n"/>
      <c r="E282" s="25">
        <f>IF(D282="","",IF(COUNTIF(Setup!$E$8:$E$13,D282)&gt;0,"Income","Expense"))</f>
        <v/>
      </c>
      <c r="F282" s="26" t="n"/>
      <c r="G282" s="25">
        <f>IF(B282="","",MONTH(B282))</f>
        <v/>
      </c>
    </row>
    <row r="283">
      <c r="B283" s="23" t="n"/>
      <c r="C283" s="24" t="n"/>
      <c r="D283" s="24" t="n"/>
      <c r="E283" s="25">
        <f>IF(D283="","",IF(COUNTIF(Setup!$E$8:$E$13,D283)&gt;0,"Income","Expense"))</f>
        <v/>
      </c>
      <c r="F283" s="26" t="n"/>
      <c r="G283" s="25">
        <f>IF(B283="","",MONTH(B283))</f>
        <v/>
      </c>
    </row>
    <row r="284">
      <c r="B284" s="23" t="n"/>
      <c r="C284" s="24" t="n"/>
      <c r="D284" s="24" t="n"/>
      <c r="E284" s="25">
        <f>IF(D284="","",IF(COUNTIF(Setup!$E$8:$E$13,D284)&gt;0,"Income","Expense"))</f>
        <v/>
      </c>
      <c r="F284" s="26" t="n"/>
      <c r="G284" s="25">
        <f>IF(B284="","",MONTH(B284))</f>
        <v/>
      </c>
    </row>
    <row r="285">
      <c r="B285" s="23" t="n"/>
      <c r="C285" s="24" t="n"/>
      <c r="D285" s="24" t="n"/>
      <c r="E285" s="25">
        <f>IF(D285="","",IF(COUNTIF(Setup!$E$8:$E$13,D285)&gt;0,"Income","Expense"))</f>
        <v/>
      </c>
      <c r="F285" s="26" t="n"/>
      <c r="G285" s="25">
        <f>IF(B285="","",MONTH(B285))</f>
        <v/>
      </c>
    </row>
    <row r="286">
      <c r="B286" s="23" t="n"/>
      <c r="C286" s="24" t="n"/>
      <c r="D286" s="24" t="n"/>
      <c r="E286" s="25">
        <f>IF(D286="","",IF(COUNTIF(Setup!$E$8:$E$13,D286)&gt;0,"Income","Expense"))</f>
        <v/>
      </c>
      <c r="F286" s="26" t="n"/>
      <c r="G286" s="25">
        <f>IF(B286="","",MONTH(B286))</f>
        <v/>
      </c>
    </row>
    <row r="287">
      <c r="B287" s="23" t="n"/>
      <c r="C287" s="24" t="n"/>
      <c r="D287" s="24" t="n"/>
      <c r="E287" s="25">
        <f>IF(D287="","",IF(COUNTIF(Setup!$E$8:$E$13,D287)&gt;0,"Income","Expense"))</f>
        <v/>
      </c>
      <c r="F287" s="26" t="n"/>
      <c r="G287" s="25">
        <f>IF(B287="","",MONTH(B287))</f>
        <v/>
      </c>
    </row>
    <row r="288">
      <c r="B288" s="23" t="n"/>
      <c r="C288" s="24" t="n"/>
      <c r="D288" s="24" t="n"/>
      <c r="E288" s="25">
        <f>IF(D288="","",IF(COUNTIF(Setup!$E$8:$E$13,D288)&gt;0,"Income","Expense"))</f>
        <v/>
      </c>
      <c r="F288" s="26" t="n"/>
      <c r="G288" s="25">
        <f>IF(B288="","",MONTH(B288))</f>
        <v/>
      </c>
    </row>
    <row r="289">
      <c r="B289" s="23" t="n"/>
      <c r="C289" s="24" t="n"/>
      <c r="D289" s="24" t="n"/>
      <c r="E289" s="25">
        <f>IF(D289="","",IF(COUNTIF(Setup!$E$8:$E$13,D289)&gt;0,"Income","Expense"))</f>
        <v/>
      </c>
      <c r="F289" s="26" t="n"/>
      <c r="G289" s="25">
        <f>IF(B289="","",MONTH(B289))</f>
        <v/>
      </c>
    </row>
    <row r="290">
      <c r="B290" s="23" t="n"/>
      <c r="C290" s="24" t="n"/>
      <c r="D290" s="24" t="n"/>
      <c r="E290" s="25">
        <f>IF(D290="","",IF(COUNTIF(Setup!$E$8:$E$13,D290)&gt;0,"Income","Expense"))</f>
        <v/>
      </c>
      <c r="F290" s="26" t="n"/>
      <c r="G290" s="25">
        <f>IF(B290="","",MONTH(B290))</f>
        <v/>
      </c>
    </row>
    <row r="291">
      <c r="B291" s="23" t="n"/>
      <c r="C291" s="24" t="n"/>
      <c r="D291" s="24" t="n"/>
      <c r="E291" s="25">
        <f>IF(D291="","",IF(COUNTIF(Setup!$E$8:$E$13,D291)&gt;0,"Income","Expense"))</f>
        <v/>
      </c>
      <c r="F291" s="26" t="n"/>
      <c r="G291" s="25">
        <f>IF(B291="","",MONTH(B291))</f>
        <v/>
      </c>
    </row>
    <row r="292">
      <c r="B292" s="23" t="n"/>
      <c r="C292" s="24" t="n"/>
      <c r="D292" s="24" t="n"/>
      <c r="E292" s="25">
        <f>IF(D292="","",IF(COUNTIF(Setup!$E$8:$E$13,D292)&gt;0,"Income","Expense"))</f>
        <v/>
      </c>
      <c r="F292" s="26" t="n"/>
      <c r="G292" s="25">
        <f>IF(B292="","",MONTH(B292))</f>
        <v/>
      </c>
    </row>
    <row r="293">
      <c r="B293" s="23" t="n"/>
      <c r="C293" s="24" t="n"/>
      <c r="D293" s="24" t="n"/>
      <c r="E293" s="25">
        <f>IF(D293="","",IF(COUNTIF(Setup!$E$8:$E$13,D293)&gt;0,"Income","Expense"))</f>
        <v/>
      </c>
      <c r="F293" s="26" t="n"/>
      <c r="G293" s="25">
        <f>IF(B293="","",MONTH(B293))</f>
        <v/>
      </c>
    </row>
    <row r="294">
      <c r="B294" s="23" t="n"/>
      <c r="C294" s="24" t="n"/>
      <c r="D294" s="24" t="n"/>
      <c r="E294" s="25">
        <f>IF(D294="","",IF(COUNTIF(Setup!$E$8:$E$13,D294)&gt;0,"Income","Expense"))</f>
        <v/>
      </c>
      <c r="F294" s="26" t="n"/>
      <c r="G294" s="25">
        <f>IF(B294="","",MONTH(B294))</f>
        <v/>
      </c>
    </row>
    <row r="295">
      <c r="B295" s="23" t="n"/>
      <c r="C295" s="24" t="n"/>
      <c r="D295" s="24" t="n"/>
      <c r="E295" s="25">
        <f>IF(D295="","",IF(COUNTIF(Setup!$E$8:$E$13,D295)&gt;0,"Income","Expense"))</f>
        <v/>
      </c>
      <c r="F295" s="26" t="n"/>
      <c r="G295" s="25">
        <f>IF(B295="","",MONTH(B295))</f>
        <v/>
      </c>
    </row>
    <row r="296">
      <c r="B296" s="23" t="n"/>
      <c r="C296" s="24" t="n"/>
      <c r="D296" s="24" t="n"/>
      <c r="E296" s="25">
        <f>IF(D296="","",IF(COUNTIF(Setup!$E$8:$E$13,D296)&gt;0,"Income","Expense"))</f>
        <v/>
      </c>
      <c r="F296" s="26" t="n"/>
      <c r="G296" s="25">
        <f>IF(B296="","",MONTH(B296))</f>
        <v/>
      </c>
    </row>
    <row r="297">
      <c r="B297" s="23" t="n"/>
      <c r="C297" s="24" t="n"/>
      <c r="D297" s="24" t="n"/>
      <c r="E297" s="25">
        <f>IF(D297="","",IF(COUNTIF(Setup!$E$8:$E$13,D297)&gt;0,"Income","Expense"))</f>
        <v/>
      </c>
      <c r="F297" s="26" t="n"/>
      <c r="G297" s="25">
        <f>IF(B297="","",MONTH(B297))</f>
        <v/>
      </c>
    </row>
    <row r="298">
      <c r="B298" s="23" t="n"/>
      <c r="C298" s="24" t="n"/>
      <c r="D298" s="24" t="n"/>
      <c r="E298" s="25">
        <f>IF(D298="","",IF(COUNTIF(Setup!$E$8:$E$13,D298)&gt;0,"Income","Expense"))</f>
        <v/>
      </c>
      <c r="F298" s="26" t="n"/>
      <c r="G298" s="25">
        <f>IF(B298="","",MONTH(B298))</f>
        <v/>
      </c>
    </row>
    <row r="299">
      <c r="B299" s="23" t="n"/>
      <c r="C299" s="24" t="n"/>
      <c r="D299" s="24" t="n"/>
      <c r="E299" s="25">
        <f>IF(D299="","",IF(COUNTIF(Setup!$E$8:$E$13,D299)&gt;0,"Income","Expense"))</f>
        <v/>
      </c>
      <c r="F299" s="26" t="n"/>
      <c r="G299" s="25">
        <f>IF(B299="","",MONTH(B299))</f>
        <v/>
      </c>
    </row>
    <row r="300">
      <c r="B300" s="23" t="n"/>
      <c r="C300" s="24" t="n"/>
      <c r="D300" s="24" t="n"/>
      <c r="E300" s="25">
        <f>IF(D300="","",IF(COUNTIF(Setup!$E$8:$E$13,D300)&gt;0,"Income","Expense"))</f>
        <v/>
      </c>
      <c r="F300" s="26" t="n"/>
      <c r="G300" s="25">
        <f>IF(B300="","",MONTH(B300))</f>
        <v/>
      </c>
    </row>
    <row r="301">
      <c r="B301" s="23" t="n"/>
      <c r="C301" s="24" t="n"/>
      <c r="D301" s="24" t="n"/>
      <c r="E301" s="25">
        <f>IF(D301="","",IF(COUNTIF(Setup!$E$8:$E$13,D301)&gt;0,"Income","Expense"))</f>
        <v/>
      </c>
      <c r="F301" s="26" t="n"/>
      <c r="G301" s="25">
        <f>IF(B301="","",MONTH(B301))</f>
        <v/>
      </c>
    </row>
    <row r="302">
      <c r="B302" s="23" t="n"/>
      <c r="C302" s="24" t="n"/>
      <c r="D302" s="24" t="n"/>
      <c r="E302" s="25">
        <f>IF(D302="","",IF(COUNTIF(Setup!$E$8:$E$13,D302)&gt;0,"Income","Expense"))</f>
        <v/>
      </c>
      <c r="F302" s="26" t="n"/>
      <c r="G302" s="25">
        <f>IF(B302="","",MONTH(B302))</f>
        <v/>
      </c>
    </row>
    <row r="303">
      <c r="B303" s="23" t="n"/>
      <c r="C303" s="24" t="n"/>
      <c r="D303" s="24" t="n"/>
      <c r="E303" s="25">
        <f>IF(D303="","",IF(COUNTIF(Setup!$E$8:$E$13,D303)&gt;0,"Income","Expense"))</f>
        <v/>
      </c>
      <c r="F303" s="26" t="n"/>
      <c r="G303" s="25">
        <f>IF(B303="","",MONTH(B303))</f>
        <v/>
      </c>
    </row>
    <row r="304">
      <c r="B304" s="23" t="n"/>
      <c r="C304" s="24" t="n"/>
      <c r="D304" s="24" t="n"/>
      <c r="E304" s="25">
        <f>IF(D304="","",IF(COUNTIF(Setup!$E$8:$E$13,D304)&gt;0,"Income","Expense"))</f>
        <v/>
      </c>
      <c r="F304" s="26" t="n"/>
      <c r="G304" s="25">
        <f>IF(B304="","",MONTH(B304))</f>
        <v/>
      </c>
    </row>
    <row r="305">
      <c r="B305" s="23" t="n"/>
      <c r="C305" s="24" t="n"/>
      <c r="D305" s="24" t="n"/>
      <c r="E305" s="25">
        <f>IF(D305="","",IF(COUNTIF(Setup!$E$8:$E$13,D305)&gt;0,"Income","Expense"))</f>
        <v/>
      </c>
      <c r="F305" s="26" t="n"/>
      <c r="G305" s="25">
        <f>IF(B305="","",MONTH(B305))</f>
        <v/>
      </c>
    </row>
    <row r="306">
      <c r="B306" s="23" t="n"/>
      <c r="C306" s="24" t="n"/>
      <c r="D306" s="24" t="n"/>
      <c r="E306" s="25">
        <f>IF(D306="","",IF(COUNTIF(Setup!$E$8:$E$13,D306)&gt;0,"Income","Expense"))</f>
        <v/>
      </c>
      <c r="F306" s="26" t="n"/>
      <c r="G306" s="25">
        <f>IF(B306="","",MONTH(B306))</f>
        <v/>
      </c>
    </row>
    <row r="307">
      <c r="B307" s="23" t="n"/>
      <c r="C307" s="24" t="n"/>
      <c r="D307" s="24" t="n"/>
      <c r="E307" s="25">
        <f>IF(D307="","",IF(COUNTIF(Setup!$E$8:$E$13,D307)&gt;0,"Income","Expense"))</f>
        <v/>
      </c>
      <c r="F307" s="26" t="n"/>
      <c r="G307" s="25">
        <f>IF(B307="","",MONTH(B307))</f>
        <v/>
      </c>
    </row>
    <row r="308">
      <c r="B308" s="23" t="n"/>
      <c r="C308" s="24" t="n"/>
      <c r="D308" s="24" t="n"/>
      <c r="E308" s="25">
        <f>IF(D308="","",IF(COUNTIF(Setup!$E$8:$E$13,D308)&gt;0,"Income","Expense"))</f>
        <v/>
      </c>
      <c r="F308" s="26" t="n"/>
      <c r="G308" s="25">
        <f>IF(B308="","",MONTH(B308))</f>
        <v/>
      </c>
    </row>
    <row r="309">
      <c r="B309" s="23" t="n"/>
      <c r="C309" s="24" t="n"/>
      <c r="D309" s="24" t="n"/>
      <c r="E309" s="25">
        <f>IF(D309="","",IF(COUNTIF(Setup!$E$8:$E$13,D309)&gt;0,"Income","Expense"))</f>
        <v/>
      </c>
      <c r="F309" s="26" t="n"/>
      <c r="G309" s="25">
        <f>IF(B309="","",MONTH(B309))</f>
        <v/>
      </c>
    </row>
    <row r="310">
      <c r="B310" s="23" t="n"/>
      <c r="C310" s="24" t="n"/>
      <c r="D310" s="24" t="n"/>
      <c r="E310" s="25">
        <f>IF(D310="","",IF(COUNTIF(Setup!$E$8:$E$13,D310)&gt;0,"Income","Expense"))</f>
        <v/>
      </c>
      <c r="F310" s="26" t="n"/>
      <c r="G310" s="25">
        <f>IF(B310="","",MONTH(B310))</f>
        <v/>
      </c>
    </row>
    <row r="311">
      <c r="B311" s="23" t="n"/>
      <c r="C311" s="24" t="n"/>
      <c r="D311" s="24" t="n"/>
      <c r="E311" s="25">
        <f>IF(D311="","",IF(COUNTIF(Setup!$E$8:$E$13,D311)&gt;0,"Income","Expense"))</f>
        <v/>
      </c>
      <c r="F311" s="26" t="n"/>
      <c r="G311" s="25">
        <f>IF(B311="","",MONTH(B311))</f>
        <v/>
      </c>
    </row>
    <row r="312">
      <c r="B312" s="23" t="n"/>
      <c r="C312" s="24" t="n"/>
      <c r="D312" s="24" t="n"/>
      <c r="E312" s="25">
        <f>IF(D312="","",IF(COUNTIF(Setup!$E$8:$E$13,D312)&gt;0,"Income","Expense"))</f>
        <v/>
      </c>
      <c r="F312" s="26" t="n"/>
      <c r="G312" s="25">
        <f>IF(B312="","",MONTH(B312))</f>
        <v/>
      </c>
    </row>
    <row r="313">
      <c r="B313" s="23" t="n"/>
      <c r="C313" s="24" t="n"/>
      <c r="D313" s="24" t="n"/>
      <c r="E313" s="25">
        <f>IF(D313="","",IF(COUNTIF(Setup!$E$8:$E$13,D313)&gt;0,"Income","Expense"))</f>
        <v/>
      </c>
      <c r="F313" s="26" t="n"/>
      <c r="G313" s="25">
        <f>IF(B313="","",MONTH(B313))</f>
        <v/>
      </c>
    </row>
    <row r="314">
      <c r="B314" s="23" t="n"/>
      <c r="C314" s="24" t="n"/>
      <c r="D314" s="24" t="n"/>
      <c r="E314" s="25">
        <f>IF(D314="","",IF(COUNTIF(Setup!$E$8:$E$13,D314)&gt;0,"Income","Expense"))</f>
        <v/>
      </c>
      <c r="F314" s="26" t="n"/>
      <c r="G314" s="25">
        <f>IF(B314="","",MONTH(B314))</f>
        <v/>
      </c>
    </row>
    <row r="315">
      <c r="B315" s="23" t="n"/>
      <c r="C315" s="24" t="n"/>
      <c r="D315" s="24" t="n"/>
      <c r="E315" s="25">
        <f>IF(D315="","",IF(COUNTIF(Setup!$E$8:$E$13,D315)&gt;0,"Income","Expense"))</f>
        <v/>
      </c>
      <c r="F315" s="26" t="n"/>
      <c r="G315" s="25">
        <f>IF(B315="","",MONTH(B315))</f>
        <v/>
      </c>
    </row>
    <row r="316">
      <c r="B316" s="23" t="n"/>
      <c r="C316" s="24" t="n"/>
      <c r="D316" s="24" t="n"/>
      <c r="E316" s="25">
        <f>IF(D316="","",IF(COUNTIF(Setup!$E$8:$E$13,D316)&gt;0,"Income","Expense"))</f>
        <v/>
      </c>
      <c r="F316" s="26" t="n"/>
      <c r="G316" s="25">
        <f>IF(B316="","",MONTH(B316))</f>
        <v/>
      </c>
    </row>
    <row r="317">
      <c r="B317" s="23" t="n"/>
      <c r="C317" s="24" t="n"/>
      <c r="D317" s="24" t="n"/>
      <c r="E317" s="25">
        <f>IF(D317="","",IF(COUNTIF(Setup!$E$8:$E$13,D317)&gt;0,"Income","Expense"))</f>
        <v/>
      </c>
      <c r="F317" s="26" t="n"/>
      <c r="G317" s="25">
        <f>IF(B317="","",MONTH(B317))</f>
        <v/>
      </c>
    </row>
    <row r="318">
      <c r="B318" s="23" t="n"/>
      <c r="C318" s="24" t="n"/>
      <c r="D318" s="24" t="n"/>
      <c r="E318" s="25">
        <f>IF(D318="","",IF(COUNTIF(Setup!$E$8:$E$13,D318)&gt;0,"Income","Expense"))</f>
        <v/>
      </c>
      <c r="F318" s="26" t="n"/>
      <c r="G318" s="25">
        <f>IF(B318="","",MONTH(B318))</f>
        <v/>
      </c>
    </row>
    <row r="319">
      <c r="B319" s="23" t="n"/>
      <c r="C319" s="24" t="n"/>
      <c r="D319" s="24" t="n"/>
      <c r="E319" s="25">
        <f>IF(D319="","",IF(COUNTIF(Setup!$E$8:$E$13,D319)&gt;0,"Income","Expense"))</f>
        <v/>
      </c>
      <c r="F319" s="26" t="n"/>
      <c r="G319" s="25">
        <f>IF(B319="","",MONTH(B319))</f>
        <v/>
      </c>
    </row>
    <row r="320">
      <c r="B320" s="23" t="n"/>
      <c r="C320" s="24" t="n"/>
      <c r="D320" s="24" t="n"/>
      <c r="E320" s="25">
        <f>IF(D320="","",IF(COUNTIF(Setup!$E$8:$E$13,D320)&gt;0,"Income","Expense"))</f>
        <v/>
      </c>
      <c r="F320" s="26" t="n"/>
      <c r="G320" s="25">
        <f>IF(B320="","",MONTH(B320))</f>
        <v/>
      </c>
    </row>
    <row r="321">
      <c r="B321" s="23" t="n"/>
      <c r="C321" s="24" t="n"/>
      <c r="D321" s="24" t="n"/>
      <c r="E321" s="25">
        <f>IF(D321="","",IF(COUNTIF(Setup!$E$8:$E$13,D321)&gt;0,"Income","Expense"))</f>
        <v/>
      </c>
      <c r="F321" s="26" t="n"/>
      <c r="G321" s="25">
        <f>IF(B321="","",MONTH(B321))</f>
        <v/>
      </c>
    </row>
    <row r="322">
      <c r="B322" s="23" t="n"/>
      <c r="C322" s="24" t="n"/>
      <c r="D322" s="24" t="n"/>
      <c r="E322" s="25">
        <f>IF(D322="","",IF(COUNTIF(Setup!$E$8:$E$13,D322)&gt;0,"Income","Expense"))</f>
        <v/>
      </c>
      <c r="F322" s="26" t="n"/>
      <c r="G322" s="25">
        <f>IF(B322="","",MONTH(B322))</f>
        <v/>
      </c>
    </row>
    <row r="323">
      <c r="B323" s="23" t="n"/>
      <c r="C323" s="24" t="n"/>
      <c r="D323" s="24" t="n"/>
      <c r="E323" s="25">
        <f>IF(D323="","",IF(COUNTIF(Setup!$E$8:$E$13,D323)&gt;0,"Income","Expense"))</f>
        <v/>
      </c>
      <c r="F323" s="26" t="n"/>
      <c r="G323" s="25">
        <f>IF(B323="","",MONTH(B323))</f>
        <v/>
      </c>
    </row>
    <row r="324">
      <c r="B324" s="23" t="n"/>
      <c r="C324" s="24" t="n"/>
      <c r="D324" s="24" t="n"/>
      <c r="E324" s="25">
        <f>IF(D324="","",IF(COUNTIF(Setup!$E$8:$E$13,D324)&gt;0,"Income","Expense"))</f>
        <v/>
      </c>
      <c r="F324" s="26" t="n"/>
      <c r="G324" s="25">
        <f>IF(B324="","",MONTH(B324))</f>
        <v/>
      </c>
    </row>
    <row r="325">
      <c r="B325" s="23" t="n"/>
      <c r="C325" s="24" t="n"/>
      <c r="D325" s="24" t="n"/>
      <c r="E325" s="25">
        <f>IF(D325="","",IF(COUNTIF(Setup!$E$8:$E$13,D325)&gt;0,"Income","Expense"))</f>
        <v/>
      </c>
      <c r="F325" s="26" t="n"/>
      <c r="G325" s="25">
        <f>IF(B325="","",MONTH(B325))</f>
        <v/>
      </c>
    </row>
    <row r="326">
      <c r="B326" s="23" t="n"/>
      <c r="C326" s="24" t="n"/>
      <c r="D326" s="24" t="n"/>
      <c r="E326" s="25">
        <f>IF(D326="","",IF(COUNTIF(Setup!$E$8:$E$13,D326)&gt;0,"Income","Expense"))</f>
        <v/>
      </c>
      <c r="F326" s="26" t="n"/>
      <c r="G326" s="25">
        <f>IF(B326="","",MONTH(B326))</f>
        <v/>
      </c>
    </row>
    <row r="327">
      <c r="B327" s="23" t="n"/>
      <c r="C327" s="24" t="n"/>
      <c r="D327" s="24" t="n"/>
      <c r="E327" s="25">
        <f>IF(D327="","",IF(COUNTIF(Setup!$E$8:$E$13,D327)&gt;0,"Income","Expense"))</f>
        <v/>
      </c>
      <c r="F327" s="26" t="n"/>
      <c r="G327" s="25">
        <f>IF(B327="","",MONTH(B327))</f>
        <v/>
      </c>
    </row>
    <row r="328">
      <c r="B328" s="23" t="n"/>
      <c r="C328" s="24" t="n"/>
      <c r="D328" s="24" t="n"/>
      <c r="E328" s="25">
        <f>IF(D328="","",IF(COUNTIF(Setup!$E$8:$E$13,D328)&gt;0,"Income","Expense"))</f>
        <v/>
      </c>
      <c r="F328" s="26" t="n"/>
      <c r="G328" s="25">
        <f>IF(B328="","",MONTH(B328))</f>
        <v/>
      </c>
    </row>
    <row r="329">
      <c r="B329" s="23" t="n"/>
      <c r="C329" s="24" t="n"/>
      <c r="D329" s="24" t="n"/>
      <c r="E329" s="25">
        <f>IF(D329="","",IF(COUNTIF(Setup!$E$8:$E$13,D329)&gt;0,"Income","Expense"))</f>
        <v/>
      </c>
      <c r="F329" s="26" t="n"/>
      <c r="G329" s="25">
        <f>IF(B329="","",MONTH(B329))</f>
        <v/>
      </c>
    </row>
    <row r="330">
      <c r="B330" s="23" t="n"/>
      <c r="C330" s="24" t="n"/>
      <c r="D330" s="24" t="n"/>
      <c r="E330" s="25">
        <f>IF(D330="","",IF(COUNTIF(Setup!$E$8:$E$13,D330)&gt;0,"Income","Expense"))</f>
        <v/>
      </c>
      <c r="F330" s="26" t="n"/>
      <c r="G330" s="25">
        <f>IF(B330="","",MONTH(B330))</f>
        <v/>
      </c>
    </row>
    <row r="331">
      <c r="B331" s="23" t="n"/>
      <c r="C331" s="24" t="n"/>
      <c r="D331" s="24" t="n"/>
      <c r="E331" s="25">
        <f>IF(D331="","",IF(COUNTIF(Setup!$E$8:$E$13,D331)&gt;0,"Income","Expense"))</f>
        <v/>
      </c>
      <c r="F331" s="26" t="n"/>
      <c r="G331" s="25">
        <f>IF(B331="","",MONTH(B331))</f>
        <v/>
      </c>
    </row>
    <row r="332">
      <c r="B332" s="23" t="n"/>
      <c r="C332" s="24" t="n"/>
      <c r="D332" s="24" t="n"/>
      <c r="E332" s="25">
        <f>IF(D332="","",IF(COUNTIF(Setup!$E$8:$E$13,D332)&gt;0,"Income","Expense"))</f>
        <v/>
      </c>
      <c r="F332" s="26" t="n"/>
      <c r="G332" s="25">
        <f>IF(B332="","",MONTH(B332))</f>
        <v/>
      </c>
    </row>
    <row r="333">
      <c r="B333" s="23" t="n"/>
      <c r="C333" s="24" t="n"/>
      <c r="D333" s="24" t="n"/>
      <c r="E333" s="25">
        <f>IF(D333="","",IF(COUNTIF(Setup!$E$8:$E$13,D333)&gt;0,"Income","Expense"))</f>
        <v/>
      </c>
      <c r="F333" s="26" t="n"/>
      <c r="G333" s="25">
        <f>IF(B333="","",MONTH(B333))</f>
        <v/>
      </c>
    </row>
    <row r="334">
      <c r="B334" s="23" t="n"/>
      <c r="C334" s="24" t="n"/>
      <c r="D334" s="24" t="n"/>
      <c r="E334" s="25">
        <f>IF(D334="","",IF(COUNTIF(Setup!$E$8:$E$13,D334)&gt;0,"Income","Expense"))</f>
        <v/>
      </c>
      <c r="F334" s="26" t="n"/>
      <c r="G334" s="25">
        <f>IF(B334="","",MONTH(B334))</f>
        <v/>
      </c>
    </row>
    <row r="335">
      <c r="B335" s="23" t="n"/>
      <c r="C335" s="24" t="n"/>
      <c r="D335" s="24" t="n"/>
      <c r="E335" s="25">
        <f>IF(D335="","",IF(COUNTIF(Setup!$E$8:$E$13,D335)&gt;0,"Income","Expense"))</f>
        <v/>
      </c>
      <c r="F335" s="26" t="n"/>
      <c r="G335" s="25">
        <f>IF(B335="","",MONTH(B335))</f>
        <v/>
      </c>
    </row>
    <row r="336">
      <c r="B336" s="23" t="n"/>
      <c r="C336" s="24" t="n"/>
      <c r="D336" s="24" t="n"/>
      <c r="E336" s="25">
        <f>IF(D336="","",IF(COUNTIF(Setup!$E$8:$E$13,D336)&gt;0,"Income","Expense"))</f>
        <v/>
      </c>
      <c r="F336" s="26" t="n"/>
      <c r="G336" s="25">
        <f>IF(B336="","",MONTH(B336))</f>
        <v/>
      </c>
    </row>
    <row r="337">
      <c r="B337" s="23" t="n"/>
      <c r="C337" s="24" t="n"/>
      <c r="D337" s="24" t="n"/>
      <c r="E337" s="25">
        <f>IF(D337="","",IF(COUNTIF(Setup!$E$8:$E$13,D337)&gt;0,"Income","Expense"))</f>
        <v/>
      </c>
      <c r="F337" s="26" t="n"/>
      <c r="G337" s="25">
        <f>IF(B337="","",MONTH(B337))</f>
        <v/>
      </c>
    </row>
    <row r="338">
      <c r="B338" s="23" t="n"/>
      <c r="C338" s="24" t="n"/>
      <c r="D338" s="24" t="n"/>
      <c r="E338" s="25">
        <f>IF(D338="","",IF(COUNTIF(Setup!$E$8:$E$13,D338)&gt;0,"Income","Expense"))</f>
        <v/>
      </c>
      <c r="F338" s="26" t="n"/>
      <c r="G338" s="25">
        <f>IF(B338="","",MONTH(B338))</f>
        <v/>
      </c>
    </row>
    <row r="339">
      <c r="B339" s="23" t="n"/>
      <c r="C339" s="24" t="n"/>
      <c r="D339" s="24" t="n"/>
      <c r="E339" s="25">
        <f>IF(D339="","",IF(COUNTIF(Setup!$E$8:$E$13,D339)&gt;0,"Income","Expense"))</f>
        <v/>
      </c>
      <c r="F339" s="26" t="n"/>
      <c r="G339" s="25">
        <f>IF(B339="","",MONTH(B339))</f>
        <v/>
      </c>
    </row>
    <row r="340">
      <c r="B340" s="23" t="n"/>
      <c r="C340" s="24" t="n"/>
      <c r="D340" s="24" t="n"/>
      <c r="E340" s="25">
        <f>IF(D340="","",IF(COUNTIF(Setup!$E$8:$E$13,D340)&gt;0,"Income","Expense"))</f>
        <v/>
      </c>
      <c r="F340" s="26" t="n"/>
      <c r="G340" s="25">
        <f>IF(B340="","",MONTH(B340))</f>
        <v/>
      </c>
    </row>
    <row r="341">
      <c r="B341" s="23" t="n"/>
      <c r="C341" s="24" t="n"/>
      <c r="D341" s="24" t="n"/>
      <c r="E341" s="25">
        <f>IF(D341="","",IF(COUNTIF(Setup!$E$8:$E$13,D341)&gt;0,"Income","Expense"))</f>
        <v/>
      </c>
      <c r="F341" s="26" t="n"/>
      <c r="G341" s="25">
        <f>IF(B341="","",MONTH(B341))</f>
        <v/>
      </c>
    </row>
    <row r="342">
      <c r="B342" s="23" t="n"/>
      <c r="C342" s="24" t="n"/>
      <c r="D342" s="24" t="n"/>
      <c r="E342" s="25">
        <f>IF(D342="","",IF(COUNTIF(Setup!$E$8:$E$13,D342)&gt;0,"Income","Expense"))</f>
        <v/>
      </c>
      <c r="F342" s="26" t="n"/>
      <c r="G342" s="25">
        <f>IF(B342="","",MONTH(B342))</f>
        <v/>
      </c>
    </row>
    <row r="343">
      <c r="B343" s="23" t="n"/>
      <c r="C343" s="24" t="n"/>
      <c r="D343" s="24" t="n"/>
      <c r="E343" s="25">
        <f>IF(D343="","",IF(COUNTIF(Setup!$E$8:$E$13,D343)&gt;0,"Income","Expense"))</f>
        <v/>
      </c>
      <c r="F343" s="26" t="n"/>
      <c r="G343" s="25">
        <f>IF(B343="","",MONTH(B343))</f>
        <v/>
      </c>
    </row>
    <row r="344">
      <c r="B344" s="23" t="n"/>
      <c r="C344" s="24" t="n"/>
      <c r="D344" s="24" t="n"/>
      <c r="E344" s="25">
        <f>IF(D344="","",IF(COUNTIF(Setup!$E$8:$E$13,D344)&gt;0,"Income","Expense"))</f>
        <v/>
      </c>
      <c r="F344" s="26" t="n"/>
      <c r="G344" s="25">
        <f>IF(B344="","",MONTH(B344))</f>
        <v/>
      </c>
    </row>
    <row r="345">
      <c r="B345" s="23" t="n"/>
      <c r="C345" s="24" t="n"/>
      <c r="D345" s="24" t="n"/>
      <c r="E345" s="25">
        <f>IF(D345="","",IF(COUNTIF(Setup!$E$8:$E$13,D345)&gt;0,"Income","Expense"))</f>
        <v/>
      </c>
      <c r="F345" s="26" t="n"/>
      <c r="G345" s="25">
        <f>IF(B345="","",MONTH(B345))</f>
        <v/>
      </c>
    </row>
    <row r="346">
      <c r="B346" s="23" t="n"/>
      <c r="C346" s="24" t="n"/>
      <c r="D346" s="24" t="n"/>
      <c r="E346" s="25">
        <f>IF(D346="","",IF(COUNTIF(Setup!$E$8:$E$13,D346)&gt;0,"Income","Expense"))</f>
        <v/>
      </c>
      <c r="F346" s="26" t="n"/>
      <c r="G346" s="25">
        <f>IF(B346="","",MONTH(B346))</f>
        <v/>
      </c>
    </row>
    <row r="347">
      <c r="B347" s="23" t="n"/>
      <c r="C347" s="24" t="n"/>
      <c r="D347" s="24" t="n"/>
      <c r="E347" s="25">
        <f>IF(D347="","",IF(COUNTIF(Setup!$E$8:$E$13,D347)&gt;0,"Income","Expense"))</f>
        <v/>
      </c>
      <c r="F347" s="26" t="n"/>
      <c r="G347" s="25">
        <f>IF(B347="","",MONTH(B347))</f>
        <v/>
      </c>
    </row>
    <row r="348">
      <c r="B348" s="23" t="n"/>
      <c r="C348" s="24" t="n"/>
      <c r="D348" s="24" t="n"/>
      <c r="E348" s="25">
        <f>IF(D348="","",IF(COUNTIF(Setup!$E$8:$E$13,D348)&gt;0,"Income","Expense"))</f>
        <v/>
      </c>
      <c r="F348" s="26" t="n"/>
      <c r="G348" s="25">
        <f>IF(B348="","",MONTH(B348))</f>
        <v/>
      </c>
    </row>
    <row r="349">
      <c r="B349" s="23" t="n"/>
      <c r="C349" s="24" t="n"/>
      <c r="D349" s="24" t="n"/>
      <c r="E349" s="25">
        <f>IF(D349="","",IF(COUNTIF(Setup!$E$8:$E$13,D349)&gt;0,"Income","Expense"))</f>
        <v/>
      </c>
      <c r="F349" s="26" t="n"/>
      <c r="G349" s="25">
        <f>IF(B349="","",MONTH(B349))</f>
        <v/>
      </c>
    </row>
    <row r="350">
      <c r="B350" s="23" t="n"/>
      <c r="C350" s="24" t="n"/>
      <c r="D350" s="24" t="n"/>
      <c r="E350" s="25">
        <f>IF(D350="","",IF(COUNTIF(Setup!$E$8:$E$13,D350)&gt;0,"Income","Expense"))</f>
        <v/>
      </c>
      <c r="F350" s="26" t="n"/>
      <c r="G350" s="25">
        <f>IF(B350="","",MONTH(B350))</f>
        <v/>
      </c>
    </row>
    <row r="351">
      <c r="B351" s="23" t="n"/>
      <c r="C351" s="24" t="n"/>
      <c r="D351" s="24" t="n"/>
      <c r="E351" s="25">
        <f>IF(D351="","",IF(COUNTIF(Setup!$E$8:$E$13,D351)&gt;0,"Income","Expense"))</f>
        <v/>
      </c>
      <c r="F351" s="26" t="n"/>
      <c r="G351" s="25">
        <f>IF(B351="","",MONTH(B351))</f>
        <v/>
      </c>
    </row>
    <row r="352">
      <c r="B352" s="23" t="n"/>
      <c r="C352" s="24" t="n"/>
      <c r="D352" s="24" t="n"/>
      <c r="E352" s="25">
        <f>IF(D352="","",IF(COUNTIF(Setup!$E$8:$E$13,D352)&gt;0,"Income","Expense"))</f>
        <v/>
      </c>
      <c r="F352" s="26" t="n"/>
      <c r="G352" s="25">
        <f>IF(B352="","",MONTH(B352))</f>
        <v/>
      </c>
    </row>
    <row r="353">
      <c r="B353" s="23" t="n"/>
      <c r="C353" s="24" t="n"/>
      <c r="D353" s="24" t="n"/>
      <c r="E353" s="25">
        <f>IF(D353="","",IF(COUNTIF(Setup!$E$8:$E$13,D353)&gt;0,"Income","Expense"))</f>
        <v/>
      </c>
      <c r="F353" s="26" t="n"/>
      <c r="G353" s="25">
        <f>IF(B353="","",MONTH(B353))</f>
        <v/>
      </c>
    </row>
    <row r="354">
      <c r="B354" s="23" t="n"/>
      <c r="C354" s="24" t="n"/>
      <c r="D354" s="24" t="n"/>
      <c r="E354" s="25">
        <f>IF(D354="","",IF(COUNTIF(Setup!$E$8:$E$13,D354)&gt;0,"Income","Expense"))</f>
        <v/>
      </c>
      <c r="F354" s="26" t="n"/>
      <c r="G354" s="25">
        <f>IF(B354="","",MONTH(B354))</f>
        <v/>
      </c>
    </row>
    <row r="355">
      <c r="B355" s="23" t="n"/>
      <c r="C355" s="24" t="n"/>
      <c r="D355" s="24" t="n"/>
      <c r="E355" s="25">
        <f>IF(D355="","",IF(COUNTIF(Setup!$E$8:$E$13,D355)&gt;0,"Income","Expense"))</f>
        <v/>
      </c>
      <c r="F355" s="26" t="n"/>
      <c r="G355" s="25">
        <f>IF(B355="","",MONTH(B355))</f>
        <v/>
      </c>
    </row>
    <row r="356">
      <c r="B356" s="23" t="n"/>
      <c r="C356" s="24" t="n"/>
      <c r="D356" s="24" t="n"/>
      <c r="E356" s="25">
        <f>IF(D356="","",IF(COUNTIF(Setup!$E$8:$E$13,D356)&gt;0,"Income","Expense"))</f>
        <v/>
      </c>
      <c r="F356" s="26" t="n"/>
      <c r="G356" s="25">
        <f>IF(B356="","",MONTH(B356))</f>
        <v/>
      </c>
    </row>
    <row r="357">
      <c r="B357" s="23" t="n"/>
      <c r="C357" s="24" t="n"/>
      <c r="D357" s="24" t="n"/>
      <c r="E357" s="25">
        <f>IF(D357="","",IF(COUNTIF(Setup!$E$8:$E$13,D357)&gt;0,"Income","Expense"))</f>
        <v/>
      </c>
      <c r="F357" s="26" t="n"/>
      <c r="G357" s="25">
        <f>IF(B357="","",MONTH(B357))</f>
        <v/>
      </c>
    </row>
    <row r="358">
      <c r="B358" s="23" t="n"/>
      <c r="C358" s="24" t="n"/>
      <c r="D358" s="24" t="n"/>
      <c r="E358" s="25">
        <f>IF(D358="","",IF(COUNTIF(Setup!$E$8:$E$13,D358)&gt;0,"Income","Expense"))</f>
        <v/>
      </c>
      <c r="F358" s="26" t="n"/>
      <c r="G358" s="25">
        <f>IF(B358="","",MONTH(B358))</f>
        <v/>
      </c>
    </row>
    <row r="359">
      <c r="B359" s="23" t="n"/>
      <c r="C359" s="24" t="n"/>
      <c r="D359" s="24" t="n"/>
      <c r="E359" s="25">
        <f>IF(D359="","",IF(COUNTIF(Setup!$E$8:$E$13,D359)&gt;0,"Income","Expense"))</f>
        <v/>
      </c>
      <c r="F359" s="26" t="n"/>
      <c r="G359" s="25">
        <f>IF(B359="","",MONTH(B359))</f>
        <v/>
      </c>
    </row>
    <row r="360">
      <c r="B360" s="23" t="n"/>
      <c r="C360" s="24" t="n"/>
      <c r="D360" s="24" t="n"/>
      <c r="E360" s="25">
        <f>IF(D360="","",IF(COUNTIF(Setup!$E$8:$E$13,D360)&gt;0,"Income","Expense"))</f>
        <v/>
      </c>
      <c r="F360" s="26" t="n"/>
      <c r="G360" s="25">
        <f>IF(B360="","",MONTH(B360))</f>
        <v/>
      </c>
    </row>
    <row r="361">
      <c r="B361" s="23" t="n"/>
      <c r="C361" s="24" t="n"/>
      <c r="D361" s="24" t="n"/>
      <c r="E361" s="25">
        <f>IF(D361="","",IF(COUNTIF(Setup!$E$8:$E$13,D361)&gt;0,"Income","Expense"))</f>
        <v/>
      </c>
      <c r="F361" s="26" t="n"/>
      <c r="G361" s="25">
        <f>IF(B361="","",MONTH(B361))</f>
        <v/>
      </c>
    </row>
    <row r="362">
      <c r="B362" s="23" t="n"/>
      <c r="C362" s="24" t="n"/>
      <c r="D362" s="24" t="n"/>
      <c r="E362" s="25">
        <f>IF(D362="","",IF(COUNTIF(Setup!$E$8:$E$13,D362)&gt;0,"Income","Expense"))</f>
        <v/>
      </c>
      <c r="F362" s="26" t="n"/>
      <c r="G362" s="25">
        <f>IF(B362="","",MONTH(B362))</f>
        <v/>
      </c>
    </row>
    <row r="363">
      <c r="B363" s="23" t="n"/>
      <c r="C363" s="24" t="n"/>
      <c r="D363" s="24" t="n"/>
      <c r="E363" s="25">
        <f>IF(D363="","",IF(COUNTIF(Setup!$E$8:$E$13,D363)&gt;0,"Income","Expense"))</f>
        <v/>
      </c>
      <c r="F363" s="26" t="n"/>
      <c r="G363" s="25">
        <f>IF(B363="","",MONTH(B363))</f>
        <v/>
      </c>
    </row>
    <row r="364">
      <c r="B364" s="23" t="n"/>
      <c r="C364" s="24" t="n"/>
      <c r="D364" s="24" t="n"/>
      <c r="E364" s="25">
        <f>IF(D364="","",IF(COUNTIF(Setup!$E$8:$E$13,D364)&gt;0,"Income","Expense"))</f>
        <v/>
      </c>
      <c r="F364" s="26" t="n"/>
      <c r="G364" s="25">
        <f>IF(B364="","",MONTH(B364))</f>
        <v/>
      </c>
    </row>
    <row r="365">
      <c r="B365" s="23" t="n"/>
      <c r="C365" s="24" t="n"/>
      <c r="D365" s="24" t="n"/>
      <c r="E365" s="25">
        <f>IF(D365="","",IF(COUNTIF(Setup!$E$8:$E$13,D365)&gt;0,"Income","Expense"))</f>
        <v/>
      </c>
      <c r="F365" s="26" t="n"/>
      <c r="G365" s="25">
        <f>IF(B365="","",MONTH(B365))</f>
        <v/>
      </c>
    </row>
    <row r="366">
      <c r="B366" s="23" t="n"/>
      <c r="C366" s="24" t="n"/>
      <c r="D366" s="24" t="n"/>
      <c r="E366" s="25">
        <f>IF(D366="","",IF(COUNTIF(Setup!$E$8:$E$13,D366)&gt;0,"Income","Expense"))</f>
        <v/>
      </c>
      <c r="F366" s="26" t="n"/>
      <c r="G366" s="25">
        <f>IF(B366="","",MONTH(B366))</f>
        <v/>
      </c>
    </row>
    <row r="367">
      <c r="B367" s="23" t="n"/>
      <c r="C367" s="24" t="n"/>
      <c r="D367" s="24" t="n"/>
      <c r="E367" s="25">
        <f>IF(D367="","",IF(COUNTIF(Setup!$E$8:$E$13,D367)&gt;0,"Income","Expense"))</f>
        <v/>
      </c>
      <c r="F367" s="26" t="n"/>
      <c r="G367" s="25">
        <f>IF(B367="","",MONTH(B367))</f>
        <v/>
      </c>
    </row>
    <row r="368">
      <c r="B368" s="23" t="n"/>
      <c r="C368" s="24" t="n"/>
      <c r="D368" s="24" t="n"/>
      <c r="E368" s="25">
        <f>IF(D368="","",IF(COUNTIF(Setup!$E$8:$E$13,D368)&gt;0,"Income","Expense"))</f>
        <v/>
      </c>
      <c r="F368" s="26" t="n"/>
      <c r="G368" s="25">
        <f>IF(B368="","",MONTH(B368))</f>
        <v/>
      </c>
    </row>
    <row r="369">
      <c r="B369" s="23" t="n"/>
      <c r="C369" s="24" t="n"/>
      <c r="D369" s="24" t="n"/>
      <c r="E369" s="25">
        <f>IF(D369="","",IF(COUNTIF(Setup!$E$8:$E$13,D369)&gt;0,"Income","Expense"))</f>
        <v/>
      </c>
      <c r="F369" s="26" t="n"/>
      <c r="G369" s="25">
        <f>IF(B369="","",MONTH(B369))</f>
        <v/>
      </c>
    </row>
    <row r="370">
      <c r="B370" s="23" t="n"/>
      <c r="C370" s="24" t="n"/>
      <c r="D370" s="24" t="n"/>
      <c r="E370" s="25">
        <f>IF(D370="","",IF(COUNTIF(Setup!$E$8:$E$13,D370)&gt;0,"Income","Expense"))</f>
        <v/>
      </c>
      <c r="F370" s="26" t="n"/>
      <c r="G370" s="25">
        <f>IF(B370="","",MONTH(B370))</f>
        <v/>
      </c>
    </row>
    <row r="371">
      <c r="B371" s="23" t="n"/>
      <c r="C371" s="24" t="n"/>
      <c r="D371" s="24" t="n"/>
      <c r="E371" s="25">
        <f>IF(D371="","",IF(COUNTIF(Setup!$E$8:$E$13,D371)&gt;0,"Income","Expense"))</f>
        <v/>
      </c>
      <c r="F371" s="26" t="n"/>
      <c r="G371" s="25">
        <f>IF(B371="","",MONTH(B371))</f>
        <v/>
      </c>
    </row>
    <row r="372">
      <c r="B372" s="23" t="n"/>
      <c r="C372" s="24" t="n"/>
      <c r="D372" s="24" t="n"/>
      <c r="E372" s="25">
        <f>IF(D372="","",IF(COUNTIF(Setup!$E$8:$E$13,D372)&gt;0,"Income","Expense"))</f>
        <v/>
      </c>
      <c r="F372" s="26" t="n"/>
      <c r="G372" s="25">
        <f>IF(B372="","",MONTH(B372))</f>
        <v/>
      </c>
    </row>
    <row r="373">
      <c r="B373" s="23" t="n"/>
      <c r="C373" s="24" t="n"/>
      <c r="D373" s="24" t="n"/>
      <c r="E373" s="25">
        <f>IF(D373="","",IF(COUNTIF(Setup!$E$8:$E$13,D373)&gt;0,"Income","Expense"))</f>
        <v/>
      </c>
      <c r="F373" s="26" t="n"/>
      <c r="G373" s="25">
        <f>IF(B373="","",MONTH(B373))</f>
        <v/>
      </c>
    </row>
    <row r="374">
      <c r="B374" s="23" t="n"/>
      <c r="C374" s="24" t="n"/>
      <c r="D374" s="24" t="n"/>
      <c r="E374" s="25">
        <f>IF(D374="","",IF(COUNTIF(Setup!$E$8:$E$13,D374)&gt;0,"Income","Expense"))</f>
        <v/>
      </c>
      <c r="F374" s="26" t="n"/>
      <c r="G374" s="25">
        <f>IF(B374="","",MONTH(B374))</f>
        <v/>
      </c>
    </row>
    <row r="375">
      <c r="B375" s="23" t="n"/>
      <c r="C375" s="24" t="n"/>
      <c r="D375" s="24" t="n"/>
      <c r="E375" s="25">
        <f>IF(D375="","",IF(COUNTIF(Setup!$E$8:$E$13,D375)&gt;0,"Income","Expense"))</f>
        <v/>
      </c>
      <c r="F375" s="26" t="n"/>
      <c r="G375" s="25">
        <f>IF(B375="","",MONTH(B375))</f>
        <v/>
      </c>
    </row>
    <row r="376">
      <c r="B376" s="23" t="n"/>
      <c r="C376" s="24" t="n"/>
      <c r="D376" s="24" t="n"/>
      <c r="E376" s="25">
        <f>IF(D376="","",IF(COUNTIF(Setup!$E$8:$E$13,D376)&gt;0,"Income","Expense"))</f>
        <v/>
      </c>
      <c r="F376" s="26" t="n"/>
      <c r="G376" s="25">
        <f>IF(B376="","",MONTH(B376))</f>
        <v/>
      </c>
    </row>
    <row r="377">
      <c r="B377" s="23" t="n"/>
      <c r="C377" s="24" t="n"/>
      <c r="D377" s="24" t="n"/>
      <c r="E377" s="25">
        <f>IF(D377="","",IF(COUNTIF(Setup!$E$8:$E$13,D377)&gt;0,"Income","Expense"))</f>
        <v/>
      </c>
      <c r="F377" s="26" t="n"/>
      <c r="G377" s="25">
        <f>IF(B377="","",MONTH(B377))</f>
        <v/>
      </c>
    </row>
    <row r="378">
      <c r="B378" s="23" t="n"/>
      <c r="C378" s="24" t="n"/>
      <c r="D378" s="24" t="n"/>
      <c r="E378" s="25">
        <f>IF(D378="","",IF(COUNTIF(Setup!$E$8:$E$13,D378)&gt;0,"Income","Expense"))</f>
        <v/>
      </c>
      <c r="F378" s="26" t="n"/>
      <c r="G378" s="25">
        <f>IF(B378="","",MONTH(B378))</f>
        <v/>
      </c>
    </row>
    <row r="379">
      <c r="B379" s="23" t="n"/>
      <c r="C379" s="24" t="n"/>
      <c r="D379" s="24" t="n"/>
      <c r="E379" s="25">
        <f>IF(D379="","",IF(COUNTIF(Setup!$E$8:$E$13,D379)&gt;0,"Income","Expense"))</f>
        <v/>
      </c>
      <c r="F379" s="26" t="n"/>
      <c r="G379" s="25">
        <f>IF(B379="","",MONTH(B379))</f>
        <v/>
      </c>
    </row>
    <row r="380">
      <c r="B380" s="23" t="n"/>
      <c r="C380" s="24" t="n"/>
      <c r="D380" s="24" t="n"/>
      <c r="E380" s="25">
        <f>IF(D380="","",IF(COUNTIF(Setup!$E$8:$E$13,D380)&gt;0,"Income","Expense"))</f>
        <v/>
      </c>
      <c r="F380" s="26" t="n"/>
      <c r="G380" s="25">
        <f>IF(B380="","",MONTH(B380))</f>
        <v/>
      </c>
    </row>
    <row r="381">
      <c r="B381" s="23" t="n"/>
      <c r="C381" s="24" t="n"/>
      <c r="D381" s="24" t="n"/>
      <c r="E381" s="25">
        <f>IF(D381="","",IF(COUNTIF(Setup!$E$8:$E$13,D381)&gt;0,"Income","Expense"))</f>
        <v/>
      </c>
      <c r="F381" s="26" t="n"/>
      <c r="G381" s="25">
        <f>IF(B381="","",MONTH(B381))</f>
        <v/>
      </c>
    </row>
    <row r="382">
      <c r="B382" s="23" t="n"/>
      <c r="C382" s="24" t="n"/>
      <c r="D382" s="24" t="n"/>
      <c r="E382" s="25">
        <f>IF(D382="","",IF(COUNTIF(Setup!$E$8:$E$13,D382)&gt;0,"Income","Expense"))</f>
        <v/>
      </c>
      <c r="F382" s="26" t="n"/>
      <c r="G382" s="25">
        <f>IF(B382="","",MONTH(B382))</f>
        <v/>
      </c>
    </row>
    <row r="383">
      <c r="B383" s="23" t="n"/>
      <c r="C383" s="24" t="n"/>
      <c r="D383" s="24" t="n"/>
      <c r="E383" s="25">
        <f>IF(D383="","",IF(COUNTIF(Setup!$E$8:$E$13,D383)&gt;0,"Income","Expense"))</f>
        <v/>
      </c>
      <c r="F383" s="26" t="n"/>
      <c r="G383" s="25">
        <f>IF(B383="","",MONTH(B383))</f>
        <v/>
      </c>
    </row>
    <row r="384">
      <c r="B384" s="23" t="n"/>
      <c r="C384" s="24" t="n"/>
      <c r="D384" s="24" t="n"/>
      <c r="E384" s="25">
        <f>IF(D384="","",IF(COUNTIF(Setup!$E$8:$E$13,D384)&gt;0,"Income","Expense"))</f>
        <v/>
      </c>
      <c r="F384" s="26" t="n"/>
      <c r="G384" s="25">
        <f>IF(B384="","",MONTH(B384))</f>
        <v/>
      </c>
    </row>
    <row r="385">
      <c r="B385" s="23" t="n"/>
      <c r="C385" s="24" t="n"/>
      <c r="D385" s="24" t="n"/>
      <c r="E385" s="25">
        <f>IF(D385="","",IF(COUNTIF(Setup!$E$8:$E$13,D385)&gt;0,"Income","Expense"))</f>
        <v/>
      </c>
      <c r="F385" s="26" t="n"/>
      <c r="G385" s="25">
        <f>IF(B385="","",MONTH(B385))</f>
        <v/>
      </c>
    </row>
    <row r="386">
      <c r="B386" s="23" t="n"/>
      <c r="C386" s="24" t="n"/>
      <c r="D386" s="24" t="n"/>
      <c r="E386" s="25">
        <f>IF(D386="","",IF(COUNTIF(Setup!$E$8:$E$13,D386)&gt;0,"Income","Expense"))</f>
        <v/>
      </c>
      <c r="F386" s="26" t="n"/>
      <c r="G386" s="25">
        <f>IF(B386="","",MONTH(B386))</f>
        <v/>
      </c>
    </row>
    <row r="387">
      <c r="B387" s="23" t="n"/>
      <c r="C387" s="24" t="n"/>
      <c r="D387" s="24" t="n"/>
      <c r="E387" s="25">
        <f>IF(D387="","",IF(COUNTIF(Setup!$E$8:$E$13,D387)&gt;0,"Income","Expense"))</f>
        <v/>
      </c>
      <c r="F387" s="26" t="n"/>
      <c r="G387" s="25">
        <f>IF(B387="","",MONTH(B387))</f>
        <v/>
      </c>
    </row>
    <row r="388">
      <c r="B388" s="23" t="n"/>
      <c r="C388" s="24" t="n"/>
      <c r="D388" s="24" t="n"/>
      <c r="E388" s="25">
        <f>IF(D388="","",IF(COUNTIF(Setup!$E$8:$E$13,D388)&gt;0,"Income","Expense"))</f>
        <v/>
      </c>
      <c r="F388" s="26" t="n"/>
      <c r="G388" s="25">
        <f>IF(B388="","",MONTH(B388))</f>
        <v/>
      </c>
    </row>
    <row r="389">
      <c r="B389" s="23" t="n"/>
      <c r="C389" s="24" t="n"/>
      <c r="D389" s="24" t="n"/>
      <c r="E389" s="25">
        <f>IF(D389="","",IF(COUNTIF(Setup!$E$8:$E$13,D389)&gt;0,"Income","Expense"))</f>
        <v/>
      </c>
      <c r="F389" s="26" t="n"/>
      <c r="G389" s="25">
        <f>IF(B389="","",MONTH(B389))</f>
        <v/>
      </c>
    </row>
    <row r="390">
      <c r="B390" s="23" t="n"/>
      <c r="C390" s="24" t="n"/>
      <c r="D390" s="24" t="n"/>
      <c r="E390" s="25">
        <f>IF(D390="","",IF(COUNTIF(Setup!$E$8:$E$13,D390)&gt;0,"Income","Expense"))</f>
        <v/>
      </c>
      <c r="F390" s="26" t="n"/>
      <c r="G390" s="25">
        <f>IF(B390="","",MONTH(B390))</f>
        <v/>
      </c>
    </row>
    <row r="391">
      <c r="B391" s="23" t="n"/>
      <c r="C391" s="24" t="n"/>
      <c r="D391" s="24" t="n"/>
      <c r="E391" s="25">
        <f>IF(D391="","",IF(COUNTIF(Setup!$E$8:$E$13,D391)&gt;0,"Income","Expense"))</f>
        <v/>
      </c>
      <c r="F391" s="26" t="n"/>
      <c r="G391" s="25">
        <f>IF(B391="","",MONTH(B391))</f>
        <v/>
      </c>
    </row>
    <row r="392">
      <c r="B392" s="23" t="n"/>
      <c r="C392" s="24" t="n"/>
      <c r="D392" s="24" t="n"/>
      <c r="E392" s="25">
        <f>IF(D392="","",IF(COUNTIF(Setup!$E$8:$E$13,D392)&gt;0,"Income","Expense"))</f>
        <v/>
      </c>
      <c r="F392" s="26" t="n"/>
      <c r="G392" s="25">
        <f>IF(B392="","",MONTH(B392))</f>
        <v/>
      </c>
    </row>
    <row r="393">
      <c r="B393" s="23" t="n"/>
      <c r="C393" s="24" t="n"/>
      <c r="D393" s="24" t="n"/>
      <c r="E393" s="25">
        <f>IF(D393="","",IF(COUNTIF(Setup!$E$8:$E$13,D393)&gt;0,"Income","Expense"))</f>
        <v/>
      </c>
      <c r="F393" s="26" t="n"/>
      <c r="G393" s="25">
        <f>IF(B393="","",MONTH(B393))</f>
        <v/>
      </c>
    </row>
    <row r="394">
      <c r="B394" s="23" t="n"/>
      <c r="C394" s="24" t="n"/>
      <c r="D394" s="24" t="n"/>
      <c r="E394" s="25">
        <f>IF(D394="","",IF(COUNTIF(Setup!$E$8:$E$13,D394)&gt;0,"Income","Expense"))</f>
        <v/>
      </c>
      <c r="F394" s="26" t="n"/>
      <c r="G394" s="25">
        <f>IF(B394="","",MONTH(B394))</f>
        <v/>
      </c>
    </row>
    <row r="395">
      <c r="B395" s="23" t="n"/>
      <c r="C395" s="24" t="n"/>
      <c r="D395" s="24" t="n"/>
      <c r="E395" s="25">
        <f>IF(D395="","",IF(COUNTIF(Setup!$E$8:$E$13,D395)&gt;0,"Income","Expense"))</f>
        <v/>
      </c>
      <c r="F395" s="26" t="n"/>
      <c r="G395" s="25">
        <f>IF(B395="","",MONTH(B395))</f>
        <v/>
      </c>
    </row>
    <row r="396">
      <c r="B396" s="23" t="n"/>
      <c r="C396" s="24" t="n"/>
      <c r="D396" s="24" t="n"/>
      <c r="E396" s="25">
        <f>IF(D396="","",IF(COUNTIF(Setup!$E$8:$E$13,D396)&gt;0,"Income","Expense"))</f>
        <v/>
      </c>
      <c r="F396" s="26" t="n"/>
      <c r="G396" s="25">
        <f>IF(B396="","",MONTH(B396))</f>
        <v/>
      </c>
    </row>
    <row r="397">
      <c r="B397" s="23" t="n"/>
      <c r="C397" s="24" t="n"/>
      <c r="D397" s="24" t="n"/>
      <c r="E397" s="25">
        <f>IF(D397="","",IF(COUNTIF(Setup!$E$8:$E$13,D397)&gt;0,"Income","Expense"))</f>
        <v/>
      </c>
      <c r="F397" s="26" t="n"/>
      <c r="G397" s="25">
        <f>IF(B397="","",MONTH(B397))</f>
        <v/>
      </c>
    </row>
    <row r="398">
      <c r="B398" s="23" t="n"/>
      <c r="C398" s="24" t="n"/>
      <c r="D398" s="24" t="n"/>
      <c r="E398" s="25">
        <f>IF(D398="","",IF(COUNTIF(Setup!$E$8:$E$13,D398)&gt;0,"Income","Expense"))</f>
        <v/>
      </c>
      <c r="F398" s="26" t="n"/>
      <c r="G398" s="25">
        <f>IF(B398="","",MONTH(B398))</f>
        <v/>
      </c>
    </row>
    <row r="399">
      <c r="B399" s="23" t="n"/>
      <c r="C399" s="24" t="n"/>
      <c r="D399" s="24" t="n"/>
      <c r="E399" s="25">
        <f>IF(D399="","",IF(COUNTIF(Setup!$E$8:$E$13,D399)&gt;0,"Income","Expense"))</f>
        <v/>
      </c>
      <c r="F399" s="26" t="n"/>
      <c r="G399" s="25">
        <f>IF(B399="","",MONTH(B399))</f>
        <v/>
      </c>
    </row>
    <row r="400">
      <c r="B400" s="23" t="n"/>
      <c r="C400" s="24" t="n"/>
      <c r="D400" s="24" t="n"/>
      <c r="E400" s="25">
        <f>IF(D400="","",IF(COUNTIF(Setup!$E$8:$E$13,D400)&gt;0,"Income","Expense"))</f>
        <v/>
      </c>
      <c r="F400" s="26" t="n"/>
      <c r="G400" s="25">
        <f>IF(B400="","",MONTH(B400))</f>
        <v/>
      </c>
    </row>
    <row r="401">
      <c r="B401" s="23" t="n"/>
      <c r="C401" s="24" t="n"/>
      <c r="D401" s="24" t="n"/>
      <c r="E401" s="25">
        <f>IF(D401="","",IF(COUNTIF(Setup!$E$8:$E$13,D401)&gt;0,"Income","Expense"))</f>
        <v/>
      </c>
      <c r="F401" s="26" t="n"/>
      <c r="G401" s="25">
        <f>IF(B401="","",MONTH(B401))</f>
        <v/>
      </c>
    </row>
    <row r="402">
      <c r="B402" s="23" t="n"/>
      <c r="C402" s="24" t="n"/>
      <c r="D402" s="24" t="n"/>
      <c r="E402" s="25">
        <f>IF(D402="","",IF(COUNTIF(Setup!$E$8:$E$13,D402)&gt;0,"Income","Expense"))</f>
        <v/>
      </c>
      <c r="F402" s="26" t="n"/>
      <c r="G402" s="25">
        <f>IF(B402="","",MONTH(B402))</f>
        <v/>
      </c>
    </row>
    <row r="403">
      <c r="B403" s="23" t="n"/>
      <c r="C403" s="24" t="n"/>
      <c r="D403" s="24" t="n"/>
      <c r="E403" s="25">
        <f>IF(D403="","",IF(COUNTIF(Setup!$E$8:$E$13,D403)&gt;0,"Income","Expense"))</f>
        <v/>
      </c>
      <c r="F403" s="26" t="n"/>
      <c r="G403" s="25">
        <f>IF(B403="","",MONTH(B403))</f>
        <v/>
      </c>
    </row>
    <row r="404">
      <c r="B404" s="23" t="n"/>
      <c r="C404" s="24" t="n"/>
      <c r="D404" s="24" t="n"/>
      <c r="E404" s="25">
        <f>IF(D404="","",IF(COUNTIF(Setup!$E$8:$E$13,D404)&gt;0,"Income","Expense"))</f>
        <v/>
      </c>
      <c r="F404" s="26" t="n"/>
      <c r="G404" s="25">
        <f>IF(B404="","",MONTH(B404))</f>
        <v/>
      </c>
    </row>
    <row r="405">
      <c r="B405" s="23" t="n"/>
      <c r="C405" s="24" t="n"/>
      <c r="D405" s="24" t="n"/>
      <c r="E405" s="25">
        <f>IF(D405="","",IF(COUNTIF(Setup!$E$8:$E$13,D405)&gt;0,"Income","Expense"))</f>
        <v/>
      </c>
      <c r="F405" s="26" t="n"/>
      <c r="G405" s="25">
        <f>IF(B405="","",MONTH(B405))</f>
        <v/>
      </c>
    </row>
    <row r="406">
      <c r="B406" s="23" t="n"/>
      <c r="C406" s="24" t="n"/>
      <c r="D406" s="24" t="n"/>
      <c r="E406" s="25">
        <f>IF(D406="","",IF(COUNTIF(Setup!$E$8:$E$13,D406)&gt;0,"Income","Expense"))</f>
        <v/>
      </c>
      <c r="F406" s="26" t="n"/>
      <c r="G406" s="25">
        <f>IF(B406="","",MONTH(B406))</f>
        <v/>
      </c>
    </row>
    <row r="407">
      <c r="B407" s="23" t="n"/>
      <c r="C407" s="24" t="n"/>
      <c r="D407" s="24" t="n"/>
      <c r="E407" s="25">
        <f>IF(D407="","",IF(COUNTIF(Setup!$E$8:$E$13,D407)&gt;0,"Income","Expense"))</f>
        <v/>
      </c>
      <c r="F407" s="26" t="n"/>
      <c r="G407" s="25">
        <f>IF(B407="","",MONTH(B407))</f>
        <v/>
      </c>
    </row>
    <row r="408">
      <c r="B408" s="23" t="n"/>
      <c r="C408" s="24" t="n"/>
      <c r="D408" s="24" t="n"/>
      <c r="E408" s="25">
        <f>IF(D408="","",IF(COUNTIF(Setup!$E$8:$E$13,D408)&gt;0,"Income","Expense"))</f>
        <v/>
      </c>
      <c r="F408" s="26" t="n"/>
      <c r="G408" s="25">
        <f>IF(B408="","",MONTH(B408))</f>
        <v/>
      </c>
    </row>
    <row r="409">
      <c r="B409" s="23" t="n"/>
      <c r="C409" s="24" t="n"/>
      <c r="D409" s="24" t="n"/>
      <c r="E409" s="25">
        <f>IF(D409="","",IF(COUNTIF(Setup!$E$8:$E$13,D409)&gt;0,"Income","Expense"))</f>
        <v/>
      </c>
      <c r="F409" s="26" t="n"/>
      <c r="G409" s="25">
        <f>IF(B409="","",MONTH(B409))</f>
        <v/>
      </c>
    </row>
    <row r="410">
      <c r="B410" s="23" t="n"/>
      <c r="C410" s="24" t="n"/>
      <c r="D410" s="24" t="n"/>
      <c r="E410" s="25">
        <f>IF(D410="","",IF(COUNTIF(Setup!$E$8:$E$13,D410)&gt;0,"Income","Expense"))</f>
        <v/>
      </c>
      <c r="F410" s="26" t="n"/>
      <c r="G410" s="25">
        <f>IF(B410="","",MONTH(B410))</f>
        <v/>
      </c>
    </row>
    <row r="411">
      <c r="B411" s="23" t="n"/>
      <c r="C411" s="24" t="n"/>
      <c r="D411" s="24" t="n"/>
      <c r="E411" s="25">
        <f>IF(D411="","",IF(COUNTIF(Setup!$E$8:$E$13,D411)&gt;0,"Income","Expense"))</f>
        <v/>
      </c>
      <c r="F411" s="26" t="n"/>
      <c r="G411" s="25">
        <f>IF(B411="","",MONTH(B411))</f>
        <v/>
      </c>
    </row>
    <row r="412">
      <c r="B412" s="23" t="n"/>
      <c r="C412" s="24" t="n"/>
      <c r="D412" s="24" t="n"/>
      <c r="E412" s="25">
        <f>IF(D412="","",IF(COUNTIF(Setup!$E$8:$E$13,D412)&gt;0,"Income","Expense"))</f>
        <v/>
      </c>
      <c r="F412" s="26" t="n"/>
      <c r="G412" s="25">
        <f>IF(B412="","",MONTH(B412))</f>
        <v/>
      </c>
    </row>
    <row r="413">
      <c r="B413" s="23" t="n"/>
      <c r="C413" s="24" t="n"/>
      <c r="D413" s="24" t="n"/>
      <c r="E413" s="25">
        <f>IF(D413="","",IF(COUNTIF(Setup!$E$8:$E$13,D413)&gt;0,"Income","Expense"))</f>
        <v/>
      </c>
      <c r="F413" s="26" t="n"/>
      <c r="G413" s="25">
        <f>IF(B413="","",MONTH(B413))</f>
        <v/>
      </c>
    </row>
    <row r="414">
      <c r="B414" s="23" t="n"/>
      <c r="C414" s="24" t="n"/>
      <c r="D414" s="24" t="n"/>
      <c r="E414" s="25">
        <f>IF(D414="","",IF(COUNTIF(Setup!$E$8:$E$13,D414)&gt;0,"Income","Expense"))</f>
        <v/>
      </c>
      <c r="F414" s="26" t="n"/>
      <c r="G414" s="25">
        <f>IF(B414="","",MONTH(B414))</f>
        <v/>
      </c>
    </row>
    <row r="415">
      <c r="B415" s="23" t="n"/>
      <c r="C415" s="24" t="n"/>
      <c r="D415" s="24" t="n"/>
      <c r="E415" s="25">
        <f>IF(D415="","",IF(COUNTIF(Setup!$E$8:$E$13,D415)&gt;0,"Income","Expense"))</f>
        <v/>
      </c>
      <c r="F415" s="26" t="n"/>
      <c r="G415" s="25">
        <f>IF(B415="","",MONTH(B415))</f>
        <v/>
      </c>
    </row>
    <row r="416">
      <c r="B416" s="23" t="n"/>
      <c r="C416" s="24" t="n"/>
      <c r="D416" s="24" t="n"/>
      <c r="E416" s="25">
        <f>IF(D416="","",IF(COUNTIF(Setup!$E$8:$E$13,D416)&gt;0,"Income","Expense"))</f>
        <v/>
      </c>
      <c r="F416" s="26" t="n"/>
      <c r="G416" s="25">
        <f>IF(B416="","",MONTH(B416))</f>
        <v/>
      </c>
    </row>
    <row r="417">
      <c r="B417" s="23" t="n"/>
      <c r="C417" s="24" t="n"/>
      <c r="D417" s="24" t="n"/>
      <c r="E417" s="25">
        <f>IF(D417="","",IF(COUNTIF(Setup!$E$8:$E$13,D417)&gt;0,"Income","Expense"))</f>
        <v/>
      </c>
      <c r="F417" s="26" t="n"/>
      <c r="G417" s="25">
        <f>IF(B417="","",MONTH(B417))</f>
        <v/>
      </c>
    </row>
    <row r="418">
      <c r="B418" s="23" t="n"/>
      <c r="C418" s="24" t="n"/>
      <c r="D418" s="24" t="n"/>
      <c r="E418" s="25">
        <f>IF(D418="","",IF(COUNTIF(Setup!$E$8:$E$13,D418)&gt;0,"Income","Expense"))</f>
        <v/>
      </c>
      <c r="F418" s="26" t="n"/>
      <c r="G418" s="25">
        <f>IF(B418="","",MONTH(B418))</f>
        <v/>
      </c>
    </row>
    <row r="419">
      <c r="B419" s="23" t="n"/>
      <c r="C419" s="24" t="n"/>
      <c r="D419" s="24" t="n"/>
      <c r="E419" s="25">
        <f>IF(D419="","",IF(COUNTIF(Setup!$E$8:$E$13,D419)&gt;0,"Income","Expense"))</f>
        <v/>
      </c>
      <c r="F419" s="26" t="n"/>
      <c r="G419" s="25">
        <f>IF(B419="","",MONTH(B419))</f>
        <v/>
      </c>
    </row>
    <row r="420">
      <c r="B420" s="23" t="n"/>
      <c r="C420" s="24" t="n"/>
      <c r="D420" s="24" t="n"/>
      <c r="E420" s="25">
        <f>IF(D420="","",IF(COUNTIF(Setup!$E$8:$E$13,D420)&gt;0,"Income","Expense"))</f>
        <v/>
      </c>
      <c r="F420" s="26" t="n"/>
      <c r="G420" s="25">
        <f>IF(B420="","",MONTH(B420))</f>
        <v/>
      </c>
    </row>
    <row r="421">
      <c r="B421" s="23" t="n"/>
      <c r="C421" s="24" t="n"/>
      <c r="D421" s="24" t="n"/>
      <c r="E421" s="25">
        <f>IF(D421="","",IF(COUNTIF(Setup!$E$8:$E$13,D421)&gt;0,"Income","Expense"))</f>
        <v/>
      </c>
      <c r="F421" s="26" t="n"/>
      <c r="G421" s="25">
        <f>IF(B421="","",MONTH(B421))</f>
        <v/>
      </c>
    </row>
    <row r="422">
      <c r="B422" s="23" t="n"/>
      <c r="C422" s="24" t="n"/>
      <c r="D422" s="24" t="n"/>
      <c r="E422" s="25">
        <f>IF(D422="","",IF(COUNTIF(Setup!$E$8:$E$13,D422)&gt;0,"Income","Expense"))</f>
        <v/>
      </c>
      <c r="F422" s="26" t="n"/>
      <c r="G422" s="25">
        <f>IF(B422="","",MONTH(B422))</f>
        <v/>
      </c>
    </row>
    <row r="423">
      <c r="B423" s="23" t="n"/>
      <c r="C423" s="24" t="n"/>
      <c r="D423" s="24" t="n"/>
      <c r="E423" s="25">
        <f>IF(D423="","",IF(COUNTIF(Setup!$E$8:$E$13,D423)&gt;0,"Income","Expense"))</f>
        <v/>
      </c>
      <c r="F423" s="26" t="n"/>
      <c r="G423" s="25">
        <f>IF(B423="","",MONTH(B423))</f>
        <v/>
      </c>
    </row>
    <row r="424">
      <c r="B424" s="23" t="n"/>
      <c r="C424" s="24" t="n"/>
      <c r="D424" s="24" t="n"/>
      <c r="E424" s="25">
        <f>IF(D424="","",IF(COUNTIF(Setup!$E$8:$E$13,D424)&gt;0,"Income","Expense"))</f>
        <v/>
      </c>
      <c r="F424" s="26" t="n"/>
      <c r="G424" s="25">
        <f>IF(B424="","",MONTH(B424))</f>
        <v/>
      </c>
    </row>
    <row r="425">
      <c r="B425" s="23" t="n"/>
      <c r="C425" s="24" t="n"/>
      <c r="D425" s="24" t="n"/>
      <c r="E425" s="25">
        <f>IF(D425="","",IF(COUNTIF(Setup!$E$8:$E$13,D425)&gt;0,"Income","Expense"))</f>
        <v/>
      </c>
      <c r="F425" s="26" t="n"/>
      <c r="G425" s="25">
        <f>IF(B425="","",MONTH(B425))</f>
        <v/>
      </c>
    </row>
    <row r="426">
      <c r="B426" s="23" t="n"/>
      <c r="C426" s="24" t="n"/>
      <c r="D426" s="24" t="n"/>
      <c r="E426" s="25">
        <f>IF(D426="","",IF(COUNTIF(Setup!$E$8:$E$13,D426)&gt;0,"Income","Expense"))</f>
        <v/>
      </c>
      <c r="F426" s="26" t="n"/>
      <c r="G426" s="25">
        <f>IF(B426="","",MONTH(B426))</f>
        <v/>
      </c>
    </row>
    <row r="427">
      <c r="B427" s="23" t="n"/>
      <c r="C427" s="24" t="n"/>
      <c r="D427" s="24" t="n"/>
      <c r="E427" s="25">
        <f>IF(D427="","",IF(COUNTIF(Setup!$E$8:$E$13,D427)&gt;0,"Income","Expense"))</f>
        <v/>
      </c>
      <c r="F427" s="26" t="n"/>
      <c r="G427" s="25">
        <f>IF(B427="","",MONTH(B427))</f>
        <v/>
      </c>
    </row>
    <row r="428">
      <c r="B428" s="23" t="n"/>
      <c r="C428" s="24" t="n"/>
      <c r="D428" s="24" t="n"/>
      <c r="E428" s="25">
        <f>IF(D428="","",IF(COUNTIF(Setup!$E$8:$E$13,D428)&gt;0,"Income","Expense"))</f>
        <v/>
      </c>
      <c r="F428" s="26" t="n"/>
      <c r="G428" s="25">
        <f>IF(B428="","",MONTH(B428))</f>
        <v/>
      </c>
    </row>
    <row r="429">
      <c r="B429" s="23" t="n"/>
      <c r="C429" s="24" t="n"/>
      <c r="D429" s="24" t="n"/>
      <c r="E429" s="25">
        <f>IF(D429="","",IF(COUNTIF(Setup!$E$8:$E$13,D429)&gt;0,"Income","Expense"))</f>
        <v/>
      </c>
      <c r="F429" s="26" t="n"/>
      <c r="G429" s="25">
        <f>IF(B429="","",MONTH(B429))</f>
        <v/>
      </c>
    </row>
    <row r="430">
      <c r="B430" s="23" t="n"/>
      <c r="C430" s="24" t="n"/>
      <c r="D430" s="24" t="n"/>
      <c r="E430" s="25">
        <f>IF(D430="","",IF(COUNTIF(Setup!$E$8:$E$13,D430)&gt;0,"Income","Expense"))</f>
        <v/>
      </c>
      <c r="F430" s="26" t="n"/>
      <c r="G430" s="25">
        <f>IF(B430="","",MONTH(B430))</f>
        <v/>
      </c>
    </row>
    <row r="431">
      <c r="B431" s="23" t="n"/>
      <c r="C431" s="24" t="n"/>
      <c r="D431" s="24" t="n"/>
      <c r="E431" s="25">
        <f>IF(D431="","",IF(COUNTIF(Setup!$E$8:$E$13,D431)&gt;0,"Income","Expense"))</f>
        <v/>
      </c>
      <c r="F431" s="26" t="n"/>
      <c r="G431" s="25">
        <f>IF(B431="","",MONTH(B431))</f>
        <v/>
      </c>
    </row>
    <row r="432">
      <c r="B432" s="23" t="n"/>
      <c r="C432" s="24" t="n"/>
      <c r="D432" s="24" t="n"/>
      <c r="E432" s="25">
        <f>IF(D432="","",IF(COUNTIF(Setup!$E$8:$E$13,D432)&gt;0,"Income","Expense"))</f>
        <v/>
      </c>
      <c r="F432" s="26" t="n"/>
      <c r="G432" s="25">
        <f>IF(B432="","",MONTH(B432))</f>
        <v/>
      </c>
    </row>
    <row r="433">
      <c r="B433" s="23" t="n"/>
      <c r="C433" s="24" t="n"/>
      <c r="D433" s="24" t="n"/>
      <c r="E433" s="25">
        <f>IF(D433="","",IF(COUNTIF(Setup!$E$8:$E$13,D433)&gt;0,"Income","Expense"))</f>
        <v/>
      </c>
      <c r="F433" s="26" t="n"/>
      <c r="G433" s="25">
        <f>IF(B433="","",MONTH(B433))</f>
        <v/>
      </c>
    </row>
    <row r="434">
      <c r="B434" s="23" t="n"/>
      <c r="C434" s="24" t="n"/>
      <c r="D434" s="24" t="n"/>
      <c r="E434" s="25">
        <f>IF(D434="","",IF(COUNTIF(Setup!$E$8:$E$13,D434)&gt;0,"Income","Expense"))</f>
        <v/>
      </c>
      <c r="F434" s="26" t="n"/>
      <c r="G434" s="25">
        <f>IF(B434="","",MONTH(B434))</f>
        <v/>
      </c>
    </row>
    <row r="435">
      <c r="B435" s="23" t="n"/>
      <c r="C435" s="24" t="n"/>
      <c r="D435" s="24" t="n"/>
      <c r="E435" s="25">
        <f>IF(D435="","",IF(COUNTIF(Setup!$E$8:$E$13,D435)&gt;0,"Income","Expense"))</f>
        <v/>
      </c>
      <c r="F435" s="26" t="n"/>
      <c r="G435" s="25">
        <f>IF(B435="","",MONTH(B435))</f>
        <v/>
      </c>
    </row>
    <row r="436">
      <c r="B436" s="23" t="n"/>
      <c r="C436" s="24" t="n"/>
      <c r="D436" s="24" t="n"/>
      <c r="E436" s="25">
        <f>IF(D436="","",IF(COUNTIF(Setup!$E$8:$E$13,D436)&gt;0,"Income","Expense"))</f>
        <v/>
      </c>
      <c r="F436" s="26" t="n"/>
      <c r="G436" s="25">
        <f>IF(B436="","",MONTH(B436))</f>
        <v/>
      </c>
    </row>
    <row r="437">
      <c r="B437" s="23" t="n"/>
      <c r="C437" s="24" t="n"/>
      <c r="D437" s="24" t="n"/>
      <c r="E437" s="25">
        <f>IF(D437="","",IF(COUNTIF(Setup!$E$8:$E$13,D437)&gt;0,"Income","Expense"))</f>
        <v/>
      </c>
      <c r="F437" s="26" t="n"/>
      <c r="G437" s="25">
        <f>IF(B437="","",MONTH(B437))</f>
        <v/>
      </c>
    </row>
    <row r="438">
      <c r="B438" s="23" t="n"/>
      <c r="C438" s="24" t="n"/>
      <c r="D438" s="24" t="n"/>
      <c r="E438" s="25">
        <f>IF(D438="","",IF(COUNTIF(Setup!$E$8:$E$13,D438)&gt;0,"Income","Expense"))</f>
        <v/>
      </c>
      <c r="F438" s="26" t="n"/>
      <c r="G438" s="25">
        <f>IF(B438="","",MONTH(B438))</f>
        <v/>
      </c>
    </row>
    <row r="439">
      <c r="B439" s="23" t="n"/>
      <c r="C439" s="24" t="n"/>
      <c r="D439" s="24" t="n"/>
      <c r="E439" s="25">
        <f>IF(D439="","",IF(COUNTIF(Setup!$E$8:$E$13,D439)&gt;0,"Income","Expense"))</f>
        <v/>
      </c>
      <c r="F439" s="26" t="n"/>
      <c r="G439" s="25">
        <f>IF(B439="","",MONTH(B439))</f>
        <v/>
      </c>
    </row>
    <row r="440">
      <c r="B440" s="23" t="n"/>
      <c r="C440" s="24" t="n"/>
      <c r="D440" s="24" t="n"/>
      <c r="E440" s="25">
        <f>IF(D440="","",IF(COUNTIF(Setup!$E$8:$E$13,D440)&gt;0,"Income","Expense"))</f>
        <v/>
      </c>
      <c r="F440" s="26" t="n"/>
      <c r="G440" s="25">
        <f>IF(B440="","",MONTH(B440))</f>
        <v/>
      </c>
    </row>
    <row r="441">
      <c r="B441" s="23" t="n"/>
      <c r="C441" s="24" t="n"/>
      <c r="D441" s="24" t="n"/>
      <c r="E441" s="25">
        <f>IF(D441="","",IF(COUNTIF(Setup!$E$8:$E$13,D441)&gt;0,"Income","Expense"))</f>
        <v/>
      </c>
      <c r="F441" s="26" t="n"/>
      <c r="G441" s="25">
        <f>IF(B441="","",MONTH(B441))</f>
        <v/>
      </c>
    </row>
    <row r="442">
      <c r="B442" s="23" t="n"/>
      <c r="C442" s="24" t="n"/>
      <c r="D442" s="24" t="n"/>
      <c r="E442" s="25">
        <f>IF(D442="","",IF(COUNTIF(Setup!$E$8:$E$13,D442)&gt;0,"Income","Expense"))</f>
        <v/>
      </c>
      <c r="F442" s="26" t="n"/>
      <c r="G442" s="25">
        <f>IF(B442="","",MONTH(B442))</f>
        <v/>
      </c>
    </row>
    <row r="443">
      <c r="B443" s="23" t="n"/>
      <c r="C443" s="24" t="n"/>
      <c r="D443" s="24" t="n"/>
      <c r="E443" s="25">
        <f>IF(D443="","",IF(COUNTIF(Setup!$E$8:$E$13,D443)&gt;0,"Income","Expense"))</f>
        <v/>
      </c>
      <c r="F443" s="26" t="n"/>
      <c r="G443" s="25">
        <f>IF(B443="","",MONTH(B443))</f>
        <v/>
      </c>
    </row>
    <row r="444">
      <c r="B444" s="23" t="n"/>
      <c r="C444" s="24" t="n"/>
      <c r="D444" s="24" t="n"/>
      <c r="E444" s="25">
        <f>IF(D444="","",IF(COUNTIF(Setup!$E$8:$E$13,D444)&gt;0,"Income","Expense"))</f>
        <v/>
      </c>
      <c r="F444" s="26" t="n"/>
      <c r="G444" s="25">
        <f>IF(B444="","",MONTH(B444))</f>
        <v/>
      </c>
    </row>
    <row r="445">
      <c r="B445" s="23" t="n"/>
      <c r="C445" s="24" t="n"/>
      <c r="D445" s="24" t="n"/>
      <c r="E445" s="25">
        <f>IF(D445="","",IF(COUNTIF(Setup!$E$8:$E$13,D445)&gt;0,"Income","Expense"))</f>
        <v/>
      </c>
      <c r="F445" s="26" t="n"/>
      <c r="G445" s="25">
        <f>IF(B445="","",MONTH(B445))</f>
        <v/>
      </c>
    </row>
    <row r="446">
      <c r="B446" s="23" t="n"/>
      <c r="C446" s="24" t="n"/>
      <c r="D446" s="24" t="n"/>
      <c r="E446" s="25">
        <f>IF(D446="","",IF(COUNTIF(Setup!$E$8:$E$13,D446)&gt;0,"Income","Expense"))</f>
        <v/>
      </c>
      <c r="F446" s="26" t="n"/>
      <c r="G446" s="25">
        <f>IF(B446="","",MONTH(B446))</f>
        <v/>
      </c>
    </row>
    <row r="447">
      <c r="B447" s="23" t="n"/>
      <c r="C447" s="24" t="n"/>
      <c r="D447" s="24" t="n"/>
      <c r="E447" s="25">
        <f>IF(D447="","",IF(COUNTIF(Setup!$E$8:$E$13,D447)&gt;0,"Income","Expense"))</f>
        <v/>
      </c>
      <c r="F447" s="26" t="n"/>
      <c r="G447" s="25">
        <f>IF(B447="","",MONTH(B447))</f>
        <v/>
      </c>
    </row>
    <row r="448">
      <c r="B448" s="23" t="n"/>
      <c r="C448" s="24" t="n"/>
      <c r="D448" s="24" t="n"/>
      <c r="E448" s="25">
        <f>IF(D448="","",IF(COUNTIF(Setup!$E$8:$E$13,D448)&gt;0,"Income","Expense"))</f>
        <v/>
      </c>
      <c r="F448" s="26" t="n"/>
      <c r="G448" s="25">
        <f>IF(B448="","",MONTH(B448))</f>
        <v/>
      </c>
    </row>
    <row r="449">
      <c r="B449" s="23" t="n"/>
      <c r="C449" s="24" t="n"/>
      <c r="D449" s="24" t="n"/>
      <c r="E449" s="25">
        <f>IF(D449="","",IF(COUNTIF(Setup!$E$8:$E$13,D449)&gt;0,"Income","Expense"))</f>
        <v/>
      </c>
      <c r="F449" s="26" t="n"/>
      <c r="G449" s="25">
        <f>IF(B449="","",MONTH(B449))</f>
        <v/>
      </c>
    </row>
    <row r="450">
      <c r="B450" s="23" t="n"/>
      <c r="C450" s="24" t="n"/>
      <c r="D450" s="24" t="n"/>
      <c r="E450" s="25">
        <f>IF(D450="","",IF(COUNTIF(Setup!$E$8:$E$13,D450)&gt;0,"Income","Expense"))</f>
        <v/>
      </c>
      <c r="F450" s="26" t="n"/>
      <c r="G450" s="25">
        <f>IF(B450="","",MONTH(B450))</f>
        <v/>
      </c>
    </row>
    <row r="451">
      <c r="B451" s="23" t="n"/>
      <c r="C451" s="24" t="n"/>
      <c r="D451" s="24" t="n"/>
      <c r="E451" s="25">
        <f>IF(D451="","",IF(COUNTIF(Setup!$E$8:$E$13,D451)&gt;0,"Income","Expense"))</f>
        <v/>
      </c>
      <c r="F451" s="26" t="n"/>
      <c r="G451" s="25">
        <f>IF(B451="","",MONTH(B451))</f>
        <v/>
      </c>
    </row>
    <row r="452">
      <c r="B452" s="23" t="n"/>
      <c r="C452" s="24" t="n"/>
      <c r="D452" s="24" t="n"/>
      <c r="E452" s="25">
        <f>IF(D452="","",IF(COUNTIF(Setup!$E$8:$E$13,D452)&gt;0,"Income","Expense"))</f>
        <v/>
      </c>
      <c r="F452" s="26" t="n"/>
      <c r="G452" s="25">
        <f>IF(B452="","",MONTH(B452))</f>
        <v/>
      </c>
    </row>
    <row r="453">
      <c r="B453" s="23" t="n"/>
      <c r="C453" s="24" t="n"/>
      <c r="D453" s="24" t="n"/>
      <c r="E453" s="25">
        <f>IF(D453="","",IF(COUNTIF(Setup!$E$8:$E$13,D453)&gt;0,"Income","Expense"))</f>
        <v/>
      </c>
      <c r="F453" s="26" t="n"/>
      <c r="G453" s="25">
        <f>IF(B453="","",MONTH(B453))</f>
        <v/>
      </c>
    </row>
    <row r="454">
      <c r="B454" s="23" t="n"/>
      <c r="C454" s="24" t="n"/>
      <c r="D454" s="24" t="n"/>
      <c r="E454" s="25">
        <f>IF(D454="","",IF(COUNTIF(Setup!$E$8:$E$13,D454)&gt;0,"Income","Expense"))</f>
        <v/>
      </c>
      <c r="F454" s="26" t="n"/>
      <c r="G454" s="25">
        <f>IF(B454="","",MONTH(B454))</f>
        <v/>
      </c>
    </row>
    <row r="455">
      <c r="B455" s="23" t="n"/>
      <c r="C455" s="24" t="n"/>
      <c r="D455" s="24" t="n"/>
      <c r="E455" s="25">
        <f>IF(D455="","",IF(COUNTIF(Setup!$E$8:$E$13,D455)&gt;0,"Income","Expense"))</f>
        <v/>
      </c>
      <c r="F455" s="26" t="n"/>
      <c r="G455" s="25">
        <f>IF(B455="","",MONTH(B455))</f>
        <v/>
      </c>
    </row>
    <row r="456">
      <c r="B456" s="23" t="n"/>
      <c r="C456" s="24" t="n"/>
      <c r="D456" s="24" t="n"/>
      <c r="E456" s="25">
        <f>IF(D456="","",IF(COUNTIF(Setup!$E$8:$E$13,D456)&gt;0,"Income","Expense"))</f>
        <v/>
      </c>
      <c r="F456" s="26" t="n"/>
      <c r="G456" s="25">
        <f>IF(B456="","",MONTH(B456))</f>
        <v/>
      </c>
    </row>
    <row r="457">
      <c r="B457" s="23" t="n"/>
      <c r="C457" s="24" t="n"/>
      <c r="D457" s="24" t="n"/>
      <c r="E457" s="25">
        <f>IF(D457="","",IF(COUNTIF(Setup!$E$8:$E$13,D457)&gt;0,"Income","Expense"))</f>
        <v/>
      </c>
      <c r="F457" s="26" t="n"/>
      <c r="G457" s="25">
        <f>IF(B457="","",MONTH(B457))</f>
        <v/>
      </c>
    </row>
    <row r="458">
      <c r="B458" s="23" t="n"/>
      <c r="C458" s="24" t="n"/>
      <c r="D458" s="24" t="n"/>
      <c r="E458" s="25">
        <f>IF(D458="","",IF(COUNTIF(Setup!$E$8:$E$13,D458)&gt;0,"Income","Expense"))</f>
        <v/>
      </c>
      <c r="F458" s="26" t="n"/>
      <c r="G458" s="25">
        <f>IF(B458="","",MONTH(B458))</f>
        <v/>
      </c>
    </row>
    <row r="459">
      <c r="B459" s="23" t="n"/>
      <c r="C459" s="24" t="n"/>
      <c r="D459" s="24" t="n"/>
      <c r="E459" s="25">
        <f>IF(D459="","",IF(COUNTIF(Setup!$E$8:$E$13,D459)&gt;0,"Income","Expense"))</f>
        <v/>
      </c>
      <c r="F459" s="26" t="n"/>
      <c r="G459" s="25">
        <f>IF(B459="","",MONTH(B459))</f>
        <v/>
      </c>
    </row>
    <row r="460">
      <c r="B460" s="23" t="n"/>
      <c r="C460" s="24" t="n"/>
      <c r="D460" s="24" t="n"/>
      <c r="E460" s="25">
        <f>IF(D460="","",IF(COUNTIF(Setup!$E$8:$E$13,D460)&gt;0,"Income","Expense"))</f>
        <v/>
      </c>
      <c r="F460" s="26" t="n"/>
      <c r="G460" s="25">
        <f>IF(B460="","",MONTH(B460))</f>
        <v/>
      </c>
    </row>
    <row r="461">
      <c r="B461" s="23" t="n"/>
      <c r="C461" s="24" t="n"/>
      <c r="D461" s="24" t="n"/>
      <c r="E461" s="25">
        <f>IF(D461="","",IF(COUNTIF(Setup!$E$8:$E$13,D461)&gt;0,"Income","Expense"))</f>
        <v/>
      </c>
      <c r="F461" s="26" t="n"/>
      <c r="G461" s="25">
        <f>IF(B461="","",MONTH(B461))</f>
        <v/>
      </c>
    </row>
    <row r="462">
      <c r="B462" s="23" t="n"/>
      <c r="C462" s="24" t="n"/>
      <c r="D462" s="24" t="n"/>
      <c r="E462" s="25">
        <f>IF(D462="","",IF(COUNTIF(Setup!$E$8:$E$13,D462)&gt;0,"Income","Expense"))</f>
        <v/>
      </c>
      <c r="F462" s="26" t="n"/>
      <c r="G462" s="25">
        <f>IF(B462="","",MONTH(B462))</f>
        <v/>
      </c>
    </row>
    <row r="463">
      <c r="B463" s="23" t="n"/>
      <c r="C463" s="24" t="n"/>
      <c r="D463" s="24" t="n"/>
      <c r="E463" s="25">
        <f>IF(D463="","",IF(COUNTIF(Setup!$E$8:$E$13,D463)&gt;0,"Income","Expense"))</f>
        <v/>
      </c>
      <c r="F463" s="26" t="n"/>
      <c r="G463" s="25">
        <f>IF(B463="","",MONTH(B463))</f>
        <v/>
      </c>
    </row>
    <row r="464">
      <c r="B464" s="23" t="n"/>
      <c r="C464" s="24" t="n"/>
      <c r="D464" s="24" t="n"/>
      <c r="E464" s="25">
        <f>IF(D464="","",IF(COUNTIF(Setup!$E$8:$E$13,D464)&gt;0,"Income","Expense"))</f>
        <v/>
      </c>
      <c r="F464" s="26" t="n"/>
      <c r="G464" s="25">
        <f>IF(B464="","",MONTH(B464))</f>
        <v/>
      </c>
    </row>
    <row r="465">
      <c r="B465" s="23" t="n"/>
      <c r="C465" s="24" t="n"/>
      <c r="D465" s="24" t="n"/>
      <c r="E465" s="25">
        <f>IF(D465="","",IF(COUNTIF(Setup!$E$8:$E$13,D465)&gt;0,"Income","Expense"))</f>
        <v/>
      </c>
      <c r="F465" s="26" t="n"/>
      <c r="G465" s="25">
        <f>IF(B465="","",MONTH(B465))</f>
        <v/>
      </c>
    </row>
    <row r="466">
      <c r="B466" s="23" t="n"/>
      <c r="C466" s="24" t="n"/>
      <c r="D466" s="24" t="n"/>
      <c r="E466" s="25">
        <f>IF(D466="","",IF(COUNTIF(Setup!$E$8:$E$13,D466)&gt;0,"Income","Expense"))</f>
        <v/>
      </c>
      <c r="F466" s="26" t="n"/>
      <c r="G466" s="25">
        <f>IF(B466="","",MONTH(B466))</f>
        <v/>
      </c>
    </row>
    <row r="467">
      <c r="B467" s="23" t="n"/>
      <c r="C467" s="24" t="n"/>
      <c r="D467" s="24" t="n"/>
      <c r="E467" s="25">
        <f>IF(D467="","",IF(COUNTIF(Setup!$E$8:$E$13,D467)&gt;0,"Income","Expense"))</f>
        <v/>
      </c>
      <c r="F467" s="26" t="n"/>
      <c r="G467" s="25">
        <f>IF(B467="","",MONTH(B467))</f>
        <v/>
      </c>
    </row>
    <row r="468">
      <c r="B468" s="23" t="n"/>
      <c r="C468" s="24" t="n"/>
      <c r="D468" s="24" t="n"/>
      <c r="E468" s="25">
        <f>IF(D468="","",IF(COUNTIF(Setup!$E$8:$E$13,D468)&gt;0,"Income","Expense"))</f>
        <v/>
      </c>
      <c r="F468" s="26" t="n"/>
      <c r="G468" s="25">
        <f>IF(B468="","",MONTH(B468))</f>
        <v/>
      </c>
    </row>
    <row r="469">
      <c r="B469" s="23" t="n"/>
      <c r="C469" s="24" t="n"/>
      <c r="D469" s="24" t="n"/>
      <c r="E469" s="25">
        <f>IF(D469="","",IF(COUNTIF(Setup!$E$8:$E$13,D469)&gt;0,"Income","Expense"))</f>
        <v/>
      </c>
      <c r="F469" s="26" t="n"/>
      <c r="G469" s="25">
        <f>IF(B469="","",MONTH(B469))</f>
        <v/>
      </c>
    </row>
    <row r="470">
      <c r="B470" s="23" t="n"/>
      <c r="C470" s="24" t="n"/>
      <c r="D470" s="24" t="n"/>
      <c r="E470" s="25">
        <f>IF(D470="","",IF(COUNTIF(Setup!$E$8:$E$13,D470)&gt;0,"Income","Expense"))</f>
        <v/>
      </c>
      <c r="F470" s="26" t="n"/>
      <c r="G470" s="25">
        <f>IF(B470="","",MONTH(B470))</f>
        <v/>
      </c>
    </row>
    <row r="471">
      <c r="B471" s="23" t="n"/>
      <c r="C471" s="24" t="n"/>
      <c r="D471" s="24" t="n"/>
      <c r="E471" s="25">
        <f>IF(D471="","",IF(COUNTIF(Setup!$E$8:$E$13,D471)&gt;0,"Income","Expense"))</f>
        <v/>
      </c>
      <c r="F471" s="26" t="n"/>
      <c r="G471" s="25">
        <f>IF(B471="","",MONTH(B471))</f>
        <v/>
      </c>
    </row>
    <row r="472">
      <c r="B472" s="23" t="n"/>
      <c r="C472" s="24" t="n"/>
      <c r="D472" s="24" t="n"/>
      <c r="E472" s="25">
        <f>IF(D472="","",IF(COUNTIF(Setup!$E$8:$E$13,D472)&gt;0,"Income","Expense"))</f>
        <v/>
      </c>
      <c r="F472" s="26" t="n"/>
      <c r="G472" s="25">
        <f>IF(B472="","",MONTH(B472))</f>
        <v/>
      </c>
    </row>
    <row r="473">
      <c r="B473" s="23" t="n"/>
      <c r="C473" s="24" t="n"/>
      <c r="D473" s="24" t="n"/>
      <c r="E473" s="25">
        <f>IF(D473="","",IF(COUNTIF(Setup!$E$8:$E$13,D473)&gt;0,"Income","Expense"))</f>
        <v/>
      </c>
      <c r="F473" s="26" t="n"/>
      <c r="G473" s="25">
        <f>IF(B473="","",MONTH(B473))</f>
        <v/>
      </c>
    </row>
    <row r="474">
      <c r="B474" s="23" t="n"/>
      <c r="C474" s="24" t="n"/>
      <c r="D474" s="24" t="n"/>
      <c r="E474" s="25">
        <f>IF(D474="","",IF(COUNTIF(Setup!$E$8:$E$13,D474)&gt;0,"Income","Expense"))</f>
        <v/>
      </c>
      <c r="F474" s="26" t="n"/>
      <c r="G474" s="25">
        <f>IF(B474="","",MONTH(B474))</f>
        <v/>
      </c>
    </row>
    <row r="475">
      <c r="B475" s="23" t="n"/>
      <c r="C475" s="24" t="n"/>
      <c r="D475" s="24" t="n"/>
      <c r="E475" s="25">
        <f>IF(D475="","",IF(COUNTIF(Setup!$E$8:$E$13,D475)&gt;0,"Income","Expense"))</f>
        <v/>
      </c>
      <c r="F475" s="26" t="n"/>
      <c r="G475" s="25">
        <f>IF(B475="","",MONTH(B475))</f>
        <v/>
      </c>
    </row>
    <row r="476">
      <c r="B476" s="23" t="n"/>
      <c r="C476" s="24" t="n"/>
      <c r="D476" s="24" t="n"/>
      <c r="E476" s="25">
        <f>IF(D476="","",IF(COUNTIF(Setup!$E$8:$E$13,D476)&gt;0,"Income","Expense"))</f>
        <v/>
      </c>
      <c r="F476" s="26" t="n"/>
      <c r="G476" s="25">
        <f>IF(B476="","",MONTH(B476))</f>
        <v/>
      </c>
    </row>
    <row r="477">
      <c r="B477" s="23" t="n"/>
      <c r="C477" s="24" t="n"/>
      <c r="D477" s="24" t="n"/>
      <c r="E477" s="25">
        <f>IF(D477="","",IF(COUNTIF(Setup!$E$8:$E$13,D477)&gt;0,"Income","Expense"))</f>
        <v/>
      </c>
      <c r="F477" s="26" t="n"/>
      <c r="G477" s="25">
        <f>IF(B477="","",MONTH(B477))</f>
        <v/>
      </c>
    </row>
    <row r="478">
      <c r="B478" s="23" t="n"/>
      <c r="C478" s="24" t="n"/>
      <c r="D478" s="24" t="n"/>
      <c r="E478" s="25">
        <f>IF(D478="","",IF(COUNTIF(Setup!$E$8:$E$13,D478)&gt;0,"Income","Expense"))</f>
        <v/>
      </c>
      <c r="F478" s="26" t="n"/>
      <c r="G478" s="25">
        <f>IF(B478="","",MONTH(B478))</f>
        <v/>
      </c>
    </row>
    <row r="479">
      <c r="B479" s="23" t="n"/>
      <c r="C479" s="24" t="n"/>
      <c r="D479" s="24" t="n"/>
      <c r="E479" s="25">
        <f>IF(D479="","",IF(COUNTIF(Setup!$E$8:$E$13,D479)&gt;0,"Income","Expense"))</f>
        <v/>
      </c>
      <c r="F479" s="26" t="n"/>
      <c r="G479" s="25">
        <f>IF(B479="","",MONTH(B479))</f>
        <v/>
      </c>
    </row>
    <row r="480">
      <c r="B480" s="23" t="n"/>
      <c r="C480" s="24" t="n"/>
      <c r="D480" s="24" t="n"/>
      <c r="E480" s="25">
        <f>IF(D480="","",IF(COUNTIF(Setup!$E$8:$E$13,D480)&gt;0,"Income","Expense"))</f>
        <v/>
      </c>
      <c r="F480" s="26" t="n"/>
      <c r="G480" s="25">
        <f>IF(B480="","",MONTH(B480))</f>
        <v/>
      </c>
    </row>
    <row r="481">
      <c r="B481" s="23" t="n"/>
      <c r="C481" s="24" t="n"/>
      <c r="D481" s="24" t="n"/>
      <c r="E481" s="25">
        <f>IF(D481="","",IF(COUNTIF(Setup!$E$8:$E$13,D481)&gt;0,"Income","Expense"))</f>
        <v/>
      </c>
      <c r="F481" s="26" t="n"/>
      <c r="G481" s="25">
        <f>IF(B481="","",MONTH(B481))</f>
        <v/>
      </c>
    </row>
    <row r="482">
      <c r="B482" s="23" t="n"/>
      <c r="C482" s="24" t="n"/>
      <c r="D482" s="24" t="n"/>
      <c r="E482" s="25">
        <f>IF(D482="","",IF(COUNTIF(Setup!$E$8:$E$13,D482)&gt;0,"Income","Expense"))</f>
        <v/>
      </c>
      <c r="F482" s="26" t="n"/>
      <c r="G482" s="25">
        <f>IF(B482="","",MONTH(B482))</f>
        <v/>
      </c>
    </row>
    <row r="483">
      <c r="B483" s="23" t="n"/>
      <c r="C483" s="24" t="n"/>
      <c r="D483" s="24" t="n"/>
      <c r="E483" s="25">
        <f>IF(D483="","",IF(COUNTIF(Setup!$E$8:$E$13,D483)&gt;0,"Income","Expense"))</f>
        <v/>
      </c>
      <c r="F483" s="26" t="n"/>
      <c r="G483" s="25">
        <f>IF(B483="","",MONTH(B483))</f>
        <v/>
      </c>
    </row>
    <row r="484">
      <c r="B484" s="23" t="n"/>
      <c r="C484" s="24" t="n"/>
      <c r="D484" s="24" t="n"/>
      <c r="E484" s="25">
        <f>IF(D484="","",IF(COUNTIF(Setup!$E$8:$E$13,D484)&gt;0,"Income","Expense"))</f>
        <v/>
      </c>
      <c r="F484" s="26" t="n"/>
      <c r="G484" s="25">
        <f>IF(B484="","",MONTH(B484))</f>
        <v/>
      </c>
    </row>
    <row r="485">
      <c r="B485" s="23" t="n"/>
      <c r="C485" s="24" t="n"/>
      <c r="D485" s="24" t="n"/>
      <c r="E485" s="25">
        <f>IF(D485="","",IF(COUNTIF(Setup!$E$8:$E$13,D485)&gt;0,"Income","Expense"))</f>
        <v/>
      </c>
      <c r="F485" s="26" t="n"/>
      <c r="G485" s="25">
        <f>IF(B485="","",MONTH(B485))</f>
        <v/>
      </c>
    </row>
    <row r="486">
      <c r="B486" s="23" t="n"/>
      <c r="C486" s="24" t="n"/>
      <c r="D486" s="24" t="n"/>
      <c r="E486" s="25">
        <f>IF(D486="","",IF(COUNTIF(Setup!$E$8:$E$13,D486)&gt;0,"Income","Expense"))</f>
        <v/>
      </c>
      <c r="F486" s="26" t="n"/>
      <c r="G486" s="25">
        <f>IF(B486="","",MONTH(B486))</f>
        <v/>
      </c>
    </row>
    <row r="487">
      <c r="B487" s="23" t="n"/>
      <c r="C487" s="24" t="n"/>
      <c r="D487" s="24" t="n"/>
      <c r="E487" s="25">
        <f>IF(D487="","",IF(COUNTIF(Setup!$E$8:$E$13,D487)&gt;0,"Income","Expense"))</f>
        <v/>
      </c>
      <c r="F487" s="26" t="n"/>
      <c r="G487" s="25">
        <f>IF(B487="","",MONTH(B487))</f>
        <v/>
      </c>
    </row>
    <row r="488">
      <c r="B488" s="23" t="n"/>
      <c r="C488" s="24" t="n"/>
      <c r="D488" s="24" t="n"/>
      <c r="E488" s="25">
        <f>IF(D488="","",IF(COUNTIF(Setup!$E$8:$E$13,D488)&gt;0,"Income","Expense"))</f>
        <v/>
      </c>
      <c r="F488" s="26" t="n"/>
      <c r="G488" s="25">
        <f>IF(B488="","",MONTH(B488))</f>
        <v/>
      </c>
    </row>
    <row r="489">
      <c r="B489" s="23" t="n"/>
      <c r="C489" s="24" t="n"/>
      <c r="D489" s="24" t="n"/>
      <c r="E489" s="25">
        <f>IF(D489="","",IF(COUNTIF(Setup!$E$8:$E$13,D489)&gt;0,"Income","Expense"))</f>
        <v/>
      </c>
      <c r="F489" s="26" t="n"/>
      <c r="G489" s="25">
        <f>IF(B489="","",MONTH(B489))</f>
        <v/>
      </c>
    </row>
    <row r="490">
      <c r="B490" s="23" t="n"/>
      <c r="C490" s="24" t="n"/>
      <c r="D490" s="24" t="n"/>
      <c r="E490" s="25">
        <f>IF(D490="","",IF(COUNTIF(Setup!$E$8:$E$13,D490)&gt;0,"Income","Expense"))</f>
        <v/>
      </c>
      <c r="F490" s="26" t="n"/>
      <c r="G490" s="25">
        <f>IF(B490="","",MONTH(B490))</f>
        <v/>
      </c>
    </row>
    <row r="491">
      <c r="B491" s="23" t="n"/>
      <c r="C491" s="24" t="n"/>
      <c r="D491" s="24" t="n"/>
      <c r="E491" s="25">
        <f>IF(D491="","",IF(COUNTIF(Setup!$E$8:$E$13,D491)&gt;0,"Income","Expense"))</f>
        <v/>
      </c>
      <c r="F491" s="26" t="n"/>
      <c r="G491" s="25">
        <f>IF(B491="","",MONTH(B491))</f>
        <v/>
      </c>
    </row>
    <row r="492">
      <c r="B492" s="23" t="n"/>
      <c r="C492" s="24" t="n"/>
      <c r="D492" s="24" t="n"/>
      <c r="E492" s="25">
        <f>IF(D492="","",IF(COUNTIF(Setup!$E$8:$E$13,D492)&gt;0,"Income","Expense"))</f>
        <v/>
      </c>
      <c r="F492" s="26" t="n"/>
      <c r="G492" s="25">
        <f>IF(B492="","",MONTH(B492))</f>
        <v/>
      </c>
    </row>
    <row r="493">
      <c r="B493" s="23" t="n"/>
      <c r="C493" s="24" t="n"/>
      <c r="D493" s="24" t="n"/>
      <c r="E493" s="25">
        <f>IF(D493="","",IF(COUNTIF(Setup!$E$8:$E$13,D493)&gt;0,"Income","Expense"))</f>
        <v/>
      </c>
      <c r="F493" s="26" t="n"/>
      <c r="G493" s="25">
        <f>IF(B493="","",MONTH(B493))</f>
        <v/>
      </c>
    </row>
    <row r="494">
      <c r="B494" s="23" t="n"/>
      <c r="C494" s="24" t="n"/>
      <c r="D494" s="24" t="n"/>
      <c r="E494" s="25">
        <f>IF(D494="","",IF(COUNTIF(Setup!$E$8:$E$13,D494)&gt;0,"Income","Expense"))</f>
        <v/>
      </c>
      <c r="F494" s="26" t="n"/>
      <c r="G494" s="25">
        <f>IF(B494="","",MONTH(B494))</f>
        <v/>
      </c>
    </row>
    <row r="495">
      <c r="B495" s="23" t="n"/>
      <c r="C495" s="24" t="n"/>
      <c r="D495" s="24" t="n"/>
      <c r="E495" s="25">
        <f>IF(D495="","",IF(COUNTIF(Setup!$E$8:$E$13,D495)&gt;0,"Income","Expense"))</f>
        <v/>
      </c>
      <c r="F495" s="26" t="n"/>
      <c r="G495" s="25">
        <f>IF(B495="","",MONTH(B495))</f>
        <v/>
      </c>
    </row>
    <row r="496">
      <c r="B496" s="23" t="n"/>
      <c r="C496" s="24" t="n"/>
      <c r="D496" s="24" t="n"/>
      <c r="E496" s="25">
        <f>IF(D496="","",IF(COUNTIF(Setup!$E$8:$E$13,D496)&gt;0,"Income","Expense"))</f>
        <v/>
      </c>
      <c r="F496" s="26" t="n"/>
      <c r="G496" s="25">
        <f>IF(B496="","",MONTH(B496))</f>
        <v/>
      </c>
    </row>
    <row r="497">
      <c r="B497" s="23" t="n"/>
      <c r="C497" s="24" t="n"/>
      <c r="D497" s="24" t="n"/>
      <c r="E497" s="25">
        <f>IF(D497="","",IF(COUNTIF(Setup!$E$8:$E$13,D497)&gt;0,"Income","Expense"))</f>
        <v/>
      </c>
      <c r="F497" s="26" t="n"/>
      <c r="G497" s="25">
        <f>IF(B497="","",MONTH(B497))</f>
        <v/>
      </c>
    </row>
    <row r="498">
      <c r="B498" s="23" t="n"/>
      <c r="C498" s="24" t="n"/>
      <c r="D498" s="24" t="n"/>
      <c r="E498" s="25">
        <f>IF(D498="","",IF(COUNTIF(Setup!$E$8:$E$13,D498)&gt;0,"Income","Expense"))</f>
        <v/>
      </c>
      <c r="F498" s="26" t="n"/>
      <c r="G498" s="25">
        <f>IF(B498="","",MONTH(B498))</f>
        <v/>
      </c>
    </row>
    <row r="499">
      <c r="B499" s="23" t="n"/>
      <c r="C499" s="24" t="n"/>
      <c r="D499" s="24" t="n"/>
      <c r="E499" s="25">
        <f>IF(D499="","",IF(COUNTIF(Setup!$E$8:$E$13,D499)&gt;0,"Income","Expense"))</f>
        <v/>
      </c>
      <c r="F499" s="26" t="n"/>
      <c r="G499" s="25">
        <f>IF(B499="","",MONTH(B499))</f>
        <v/>
      </c>
    </row>
    <row r="500">
      <c r="B500" s="23" t="n"/>
      <c r="C500" s="24" t="n"/>
      <c r="D500" s="24" t="n"/>
      <c r="E500" s="25">
        <f>IF(D500="","",IF(COUNTIF(Setup!$E$8:$E$13,D500)&gt;0,"Income","Expense"))</f>
        <v/>
      </c>
      <c r="F500" s="26" t="n"/>
      <c r="G500" s="25">
        <f>IF(B500="","",MONTH(B500))</f>
        <v/>
      </c>
    </row>
    <row r="501">
      <c r="B501" s="23" t="n"/>
      <c r="C501" s="24" t="n"/>
      <c r="D501" s="24" t="n"/>
      <c r="E501" s="25">
        <f>IF(D501="","",IF(COUNTIF(Setup!$E$8:$E$13,D501)&gt;0,"Income","Expense"))</f>
        <v/>
      </c>
      <c r="F501" s="26" t="n"/>
      <c r="G501" s="25">
        <f>IF(B501="","",MONTH(B501))</f>
        <v/>
      </c>
    </row>
    <row r="502">
      <c r="B502" s="23" t="n"/>
      <c r="C502" s="24" t="n"/>
      <c r="D502" s="24" t="n"/>
      <c r="E502" s="25">
        <f>IF(D502="","",IF(COUNTIF(Setup!$E$8:$E$13,D502)&gt;0,"Income","Expense"))</f>
        <v/>
      </c>
      <c r="F502" s="26" t="n"/>
      <c r="G502" s="25">
        <f>IF(B502="","",MONTH(B502))</f>
        <v/>
      </c>
    </row>
    <row r="503">
      <c r="B503" s="23" t="n"/>
      <c r="C503" s="24" t="n"/>
      <c r="D503" s="24" t="n"/>
      <c r="E503" s="25">
        <f>IF(D503="","",IF(COUNTIF(Setup!$E$8:$E$13,D503)&gt;0,"Income","Expense"))</f>
        <v/>
      </c>
      <c r="F503" s="26" t="n"/>
      <c r="G503" s="25">
        <f>IF(B503="","",MONTH(B503))</f>
        <v/>
      </c>
    </row>
    <row r="504">
      <c r="B504" s="23" t="n"/>
      <c r="C504" s="24" t="n"/>
      <c r="D504" s="24" t="n"/>
      <c r="E504" s="25">
        <f>IF(D504="","",IF(COUNTIF(Setup!$E$8:$E$13,D504)&gt;0,"Income","Expense"))</f>
        <v/>
      </c>
      <c r="F504" s="26" t="n"/>
      <c r="G504" s="25">
        <f>IF(B504="","",MONTH(B504))</f>
        <v/>
      </c>
    </row>
    <row r="505">
      <c r="B505" s="23" t="n"/>
      <c r="C505" s="24" t="n"/>
      <c r="D505" s="24" t="n"/>
      <c r="E505" s="25">
        <f>IF(D505="","",IF(COUNTIF(Setup!$E$8:$E$13,D505)&gt;0,"Income","Expense"))</f>
        <v/>
      </c>
      <c r="F505" s="26" t="n"/>
      <c r="G505" s="25">
        <f>IF(B505="","",MONTH(B505))</f>
        <v/>
      </c>
    </row>
    <row r="506">
      <c r="B506" s="23" t="n"/>
      <c r="C506" s="24" t="n"/>
      <c r="D506" s="24" t="n"/>
      <c r="E506" s="25">
        <f>IF(D506="","",IF(COUNTIF(Setup!$E$8:$E$13,D506)&gt;0,"Income","Expense"))</f>
        <v/>
      </c>
      <c r="F506" s="26" t="n"/>
      <c r="G506" s="25">
        <f>IF(B506="","",MONTH(B506))</f>
        <v/>
      </c>
    </row>
    <row r="507">
      <c r="B507" s="23" t="n"/>
      <c r="C507" s="24" t="n"/>
      <c r="D507" s="24" t="n"/>
      <c r="E507" s="25">
        <f>IF(D507="","",IF(COUNTIF(Setup!$E$8:$E$13,D507)&gt;0,"Income","Expense"))</f>
        <v/>
      </c>
      <c r="F507" s="26" t="n"/>
      <c r="G507" s="25">
        <f>IF(B507="","",MONTH(B507))</f>
        <v/>
      </c>
    </row>
    <row r="508">
      <c r="B508" s="23" t="n"/>
      <c r="C508" s="24" t="n"/>
      <c r="D508" s="24" t="n"/>
      <c r="E508" s="25">
        <f>IF(D508="","",IF(COUNTIF(Setup!$E$8:$E$13,D508)&gt;0,"Income","Expense"))</f>
        <v/>
      </c>
      <c r="F508" s="26" t="n"/>
      <c r="G508" s="25">
        <f>IF(B508="","",MONTH(B508))</f>
        <v/>
      </c>
    </row>
    <row r="509">
      <c r="B509" s="23" t="n"/>
      <c r="C509" s="24" t="n"/>
      <c r="D509" s="24" t="n"/>
      <c r="E509" s="25">
        <f>IF(D509="","",IF(COUNTIF(Setup!$E$8:$E$13,D509)&gt;0,"Income","Expense"))</f>
        <v/>
      </c>
      <c r="F509" s="26" t="n"/>
      <c r="G509" s="25">
        <f>IF(B509="","",MONTH(B509))</f>
        <v/>
      </c>
    </row>
    <row r="510">
      <c r="B510" s="23" t="n"/>
      <c r="C510" s="24" t="n"/>
      <c r="D510" s="24" t="n"/>
      <c r="E510" s="25">
        <f>IF(D510="","",IF(COUNTIF(Setup!$E$8:$E$13,D510)&gt;0,"Income","Expense"))</f>
        <v/>
      </c>
      <c r="F510" s="26" t="n"/>
      <c r="G510" s="25">
        <f>IF(B510="","",MONTH(B510))</f>
        <v/>
      </c>
    </row>
    <row r="511">
      <c r="B511" s="23" t="n"/>
      <c r="C511" s="24" t="n"/>
      <c r="D511" s="24" t="n"/>
      <c r="E511" s="25">
        <f>IF(D511="","",IF(COUNTIF(Setup!$E$8:$E$13,D511)&gt;0,"Income","Expense"))</f>
        <v/>
      </c>
      <c r="F511" s="26" t="n"/>
      <c r="G511" s="25">
        <f>IF(B511="","",MONTH(B511))</f>
        <v/>
      </c>
    </row>
    <row r="512">
      <c r="B512" s="23" t="n"/>
      <c r="C512" s="24" t="n"/>
      <c r="D512" s="24" t="n"/>
      <c r="E512" s="25">
        <f>IF(D512="","",IF(COUNTIF(Setup!$E$8:$E$13,D512)&gt;0,"Income","Expense"))</f>
        <v/>
      </c>
      <c r="F512" s="26" t="n"/>
      <c r="G512" s="25">
        <f>IF(B512="","",MONTH(B512))</f>
        <v/>
      </c>
    </row>
    <row r="513">
      <c r="B513" s="23" t="n"/>
      <c r="C513" s="24" t="n"/>
      <c r="D513" s="24" t="n"/>
      <c r="E513" s="25">
        <f>IF(D513="","",IF(COUNTIF(Setup!$E$8:$E$13,D513)&gt;0,"Income","Expense"))</f>
        <v/>
      </c>
      <c r="F513" s="26" t="n"/>
      <c r="G513" s="25">
        <f>IF(B513="","",MONTH(B513))</f>
        <v/>
      </c>
    </row>
    <row r="514">
      <c r="B514" s="23" t="n"/>
      <c r="C514" s="24" t="n"/>
      <c r="D514" s="24" t="n"/>
      <c r="E514" s="25">
        <f>IF(D514="","",IF(COUNTIF(Setup!$E$8:$E$13,D514)&gt;0,"Income","Expense"))</f>
        <v/>
      </c>
      <c r="F514" s="26" t="n"/>
      <c r="G514" s="25">
        <f>IF(B514="","",MONTH(B514))</f>
        <v/>
      </c>
    </row>
    <row r="515">
      <c r="B515" s="23" t="n"/>
      <c r="C515" s="24" t="n"/>
      <c r="D515" s="24" t="n"/>
      <c r="E515" s="25">
        <f>IF(D515="","",IF(COUNTIF(Setup!$E$8:$E$13,D515)&gt;0,"Income","Expense"))</f>
        <v/>
      </c>
      <c r="F515" s="26" t="n"/>
      <c r="G515" s="25">
        <f>IF(B515="","",MONTH(B515))</f>
        <v/>
      </c>
    </row>
    <row r="516">
      <c r="B516" s="23" t="n"/>
      <c r="C516" s="24" t="n"/>
      <c r="D516" s="24" t="n"/>
      <c r="E516" s="25">
        <f>IF(D516="","",IF(COUNTIF(Setup!$E$8:$E$13,D516)&gt;0,"Income","Expense"))</f>
        <v/>
      </c>
      <c r="F516" s="26" t="n"/>
      <c r="G516" s="25">
        <f>IF(B516="","",MONTH(B516))</f>
        <v/>
      </c>
    </row>
    <row r="517">
      <c r="B517" s="23" t="n"/>
      <c r="C517" s="24" t="n"/>
      <c r="D517" s="24" t="n"/>
      <c r="E517" s="25">
        <f>IF(D517="","",IF(COUNTIF(Setup!$E$8:$E$13,D517)&gt;0,"Income","Expense"))</f>
        <v/>
      </c>
      <c r="F517" s="26" t="n"/>
      <c r="G517" s="25">
        <f>IF(B517="","",MONTH(B517))</f>
        <v/>
      </c>
    </row>
    <row r="518">
      <c r="B518" s="23" t="n"/>
      <c r="C518" s="24" t="n"/>
      <c r="D518" s="24" t="n"/>
      <c r="E518" s="25">
        <f>IF(D518="","",IF(COUNTIF(Setup!$E$8:$E$13,D518)&gt;0,"Income","Expense"))</f>
        <v/>
      </c>
      <c r="F518" s="26" t="n"/>
      <c r="G518" s="25">
        <f>IF(B518="","",MONTH(B518))</f>
        <v/>
      </c>
    </row>
    <row r="519">
      <c r="B519" s="23" t="n"/>
      <c r="C519" s="24" t="n"/>
      <c r="D519" s="24" t="n"/>
      <c r="E519" s="25">
        <f>IF(D519="","",IF(COUNTIF(Setup!$E$8:$E$13,D519)&gt;0,"Income","Expense"))</f>
        <v/>
      </c>
      <c r="F519" s="26" t="n"/>
      <c r="G519" s="25">
        <f>IF(B519="","",MONTH(B519))</f>
        <v/>
      </c>
    </row>
    <row r="520">
      <c r="B520" s="23" t="n"/>
      <c r="C520" s="24" t="n"/>
      <c r="D520" s="24" t="n"/>
      <c r="E520" s="25">
        <f>IF(D520="","",IF(COUNTIF(Setup!$E$8:$E$13,D520)&gt;0,"Income","Expense"))</f>
        <v/>
      </c>
      <c r="F520" s="26" t="n"/>
      <c r="G520" s="25">
        <f>IF(B520="","",MONTH(B520))</f>
        <v/>
      </c>
    </row>
    <row r="521">
      <c r="B521" s="23" t="n"/>
      <c r="C521" s="24" t="n"/>
      <c r="D521" s="24" t="n"/>
      <c r="E521" s="25">
        <f>IF(D521="","",IF(COUNTIF(Setup!$E$8:$E$13,D521)&gt;0,"Income","Expense"))</f>
        <v/>
      </c>
      <c r="F521" s="26" t="n"/>
      <c r="G521" s="25">
        <f>IF(B521="","",MONTH(B521))</f>
        <v/>
      </c>
    </row>
    <row r="522">
      <c r="B522" s="23" t="n"/>
      <c r="C522" s="24" t="n"/>
      <c r="D522" s="24" t="n"/>
      <c r="E522" s="25">
        <f>IF(D522="","",IF(COUNTIF(Setup!$E$8:$E$13,D522)&gt;0,"Income","Expense"))</f>
        <v/>
      </c>
      <c r="F522" s="26" t="n"/>
      <c r="G522" s="25">
        <f>IF(B522="","",MONTH(B522))</f>
        <v/>
      </c>
    </row>
    <row r="523">
      <c r="B523" s="23" t="n"/>
      <c r="C523" s="24" t="n"/>
      <c r="D523" s="24" t="n"/>
      <c r="E523" s="25">
        <f>IF(D523="","",IF(COUNTIF(Setup!$E$8:$E$13,D523)&gt;0,"Income","Expense"))</f>
        <v/>
      </c>
      <c r="F523" s="26" t="n"/>
      <c r="G523" s="25">
        <f>IF(B523="","",MONTH(B523))</f>
        <v/>
      </c>
    </row>
    <row r="524">
      <c r="B524" s="23" t="n"/>
      <c r="C524" s="24" t="n"/>
      <c r="D524" s="24" t="n"/>
      <c r="E524" s="25">
        <f>IF(D524="","",IF(COUNTIF(Setup!$E$8:$E$13,D524)&gt;0,"Income","Expense"))</f>
        <v/>
      </c>
      <c r="F524" s="26" t="n"/>
      <c r="G524" s="25">
        <f>IF(B524="","",MONTH(B524))</f>
        <v/>
      </c>
    </row>
    <row r="525">
      <c r="B525" s="23" t="n"/>
      <c r="C525" s="24" t="n"/>
      <c r="D525" s="24" t="n"/>
      <c r="E525" s="25">
        <f>IF(D525="","",IF(COUNTIF(Setup!$E$8:$E$13,D525)&gt;0,"Income","Expense"))</f>
        <v/>
      </c>
      <c r="F525" s="26" t="n"/>
      <c r="G525" s="25">
        <f>IF(B525="","",MONTH(B525))</f>
        <v/>
      </c>
    </row>
    <row r="526">
      <c r="B526" s="23" t="n"/>
      <c r="C526" s="24" t="n"/>
      <c r="D526" s="24" t="n"/>
      <c r="E526" s="25">
        <f>IF(D526="","",IF(COUNTIF(Setup!$E$8:$E$13,D526)&gt;0,"Income","Expense"))</f>
        <v/>
      </c>
      <c r="F526" s="26" t="n"/>
      <c r="G526" s="25">
        <f>IF(B526="","",MONTH(B526))</f>
        <v/>
      </c>
    </row>
    <row r="527">
      <c r="B527" s="23" t="n"/>
      <c r="C527" s="24" t="n"/>
      <c r="D527" s="24" t="n"/>
      <c r="E527" s="25">
        <f>IF(D527="","",IF(COUNTIF(Setup!$E$8:$E$13,D527)&gt;0,"Income","Expense"))</f>
        <v/>
      </c>
      <c r="F527" s="26" t="n"/>
      <c r="G527" s="25">
        <f>IF(B527="","",MONTH(B527))</f>
        <v/>
      </c>
    </row>
    <row r="528">
      <c r="B528" s="23" t="n"/>
      <c r="C528" s="24" t="n"/>
      <c r="D528" s="24" t="n"/>
      <c r="E528" s="25">
        <f>IF(D528="","",IF(COUNTIF(Setup!$E$8:$E$13,D528)&gt;0,"Income","Expense"))</f>
        <v/>
      </c>
      <c r="F528" s="26" t="n"/>
      <c r="G528" s="25">
        <f>IF(B528="","",MONTH(B528))</f>
        <v/>
      </c>
    </row>
    <row r="529">
      <c r="B529" s="23" t="n"/>
      <c r="C529" s="24" t="n"/>
      <c r="D529" s="24" t="n"/>
      <c r="E529" s="25">
        <f>IF(D529="","",IF(COUNTIF(Setup!$E$8:$E$13,D529)&gt;0,"Income","Expense"))</f>
        <v/>
      </c>
      <c r="F529" s="26" t="n"/>
      <c r="G529" s="25">
        <f>IF(B529="","",MONTH(B529))</f>
        <v/>
      </c>
    </row>
    <row r="530">
      <c r="B530" s="23" t="n"/>
      <c r="C530" s="24" t="n"/>
      <c r="D530" s="24" t="n"/>
      <c r="E530" s="25">
        <f>IF(D530="","",IF(COUNTIF(Setup!$E$8:$E$13,D530)&gt;0,"Income","Expense"))</f>
        <v/>
      </c>
      <c r="F530" s="26" t="n"/>
      <c r="G530" s="25">
        <f>IF(B530="","",MONTH(B530))</f>
        <v/>
      </c>
    </row>
    <row r="531">
      <c r="B531" s="23" t="n"/>
      <c r="C531" s="24" t="n"/>
      <c r="D531" s="24" t="n"/>
      <c r="E531" s="25">
        <f>IF(D531="","",IF(COUNTIF(Setup!$E$8:$E$13,D531)&gt;0,"Income","Expense"))</f>
        <v/>
      </c>
      <c r="F531" s="26" t="n"/>
      <c r="G531" s="25">
        <f>IF(B531="","",MONTH(B531))</f>
        <v/>
      </c>
    </row>
    <row r="532">
      <c r="B532" s="23" t="n"/>
      <c r="C532" s="24" t="n"/>
      <c r="D532" s="24" t="n"/>
      <c r="E532" s="25">
        <f>IF(D532="","",IF(COUNTIF(Setup!$E$8:$E$13,D532)&gt;0,"Income","Expense"))</f>
        <v/>
      </c>
      <c r="F532" s="26" t="n"/>
      <c r="G532" s="25">
        <f>IF(B532="","",MONTH(B532))</f>
        <v/>
      </c>
    </row>
    <row r="533">
      <c r="B533" s="23" t="n"/>
      <c r="C533" s="24" t="n"/>
      <c r="D533" s="24" t="n"/>
      <c r="E533" s="25">
        <f>IF(D533="","",IF(COUNTIF(Setup!$E$8:$E$13,D533)&gt;0,"Income","Expense"))</f>
        <v/>
      </c>
      <c r="F533" s="26" t="n"/>
      <c r="G533" s="25">
        <f>IF(B533="","",MONTH(B533))</f>
        <v/>
      </c>
    </row>
    <row r="534">
      <c r="B534" s="23" t="n"/>
      <c r="C534" s="24" t="n"/>
      <c r="D534" s="24" t="n"/>
      <c r="E534" s="25">
        <f>IF(D534="","",IF(COUNTIF(Setup!$E$8:$E$13,D534)&gt;0,"Income","Expense"))</f>
        <v/>
      </c>
      <c r="F534" s="26" t="n"/>
      <c r="G534" s="25">
        <f>IF(B534="","",MONTH(B534))</f>
        <v/>
      </c>
    </row>
    <row r="535">
      <c r="B535" s="23" t="n"/>
      <c r="C535" s="24" t="n"/>
      <c r="D535" s="24" t="n"/>
      <c r="E535" s="25">
        <f>IF(D535="","",IF(COUNTIF(Setup!$E$8:$E$13,D535)&gt;0,"Income","Expense"))</f>
        <v/>
      </c>
      <c r="F535" s="26" t="n"/>
      <c r="G535" s="25">
        <f>IF(B535="","",MONTH(B535))</f>
        <v/>
      </c>
    </row>
    <row r="536">
      <c r="B536" s="23" t="n"/>
      <c r="C536" s="24" t="n"/>
      <c r="D536" s="24" t="n"/>
      <c r="E536" s="25">
        <f>IF(D536="","",IF(COUNTIF(Setup!$E$8:$E$13,D536)&gt;0,"Income","Expense"))</f>
        <v/>
      </c>
      <c r="F536" s="26" t="n"/>
      <c r="G536" s="25">
        <f>IF(B536="","",MONTH(B536))</f>
        <v/>
      </c>
    </row>
    <row r="537">
      <c r="B537" s="23" t="n"/>
      <c r="C537" s="24" t="n"/>
      <c r="D537" s="24" t="n"/>
      <c r="E537" s="25">
        <f>IF(D537="","",IF(COUNTIF(Setup!$E$8:$E$13,D537)&gt;0,"Income","Expense"))</f>
        <v/>
      </c>
      <c r="F537" s="26" t="n"/>
      <c r="G537" s="25">
        <f>IF(B537="","",MONTH(B537))</f>
        <v/>
      </c>
    </row>
    <row r="538">
      <c r="B538" s="23" t="n"/>
      <c r="C538" s="24" t="n"/>
      <c r="D538" s="24" t="n"/>
      <c r="E538" s="25">
        <f>IF(D538="","",IF(COUNTIF(Setup!$E$8:$E$13,D538)&gt;0,"Income","Expense"))</f>
        <v/>
      </c>
      <c r="F538" s="26" t="n"/>
      <c r="G538" s="25">
        <f>IF(B538="","",MONTH(B538))</f>
        <v/>
      </c>
    </row>
    <row r="539">
      <c r="B539" s="23" t="n"/>
      <c r="C539" s="24" t="n"/>
      <c r="D539" s="24" t="n"/>
      <c r="E539" s="25">
        <f>IF(D539="","",IF(COUNTIF(Setup!$E$8:$E$13,D539)&gt;0,"Income","Expense"))</f>
        <v/>
      </c>
      <c r="F539" s="26" t="n"/>
      <c r="G539" s="25">
        <f>IF(B539="","",MONTH(B539))</f>
        <v/>
      </c>
    </row>
    <row r="540">
      <c r="B540" s="23" t="n"/>
      <c r="C540" s="24" t="n"/>
      <c r="D540" s="24" t="n"/>
      <c r="E540" s="25">
        <f>IF(D540="","",IF(COUNTIF(Setup!$E$8:$E$13,D540)&gt;0,"Income","Expense"))</f>
        <v/>
      </c>
      <c r="F540" s="26" t="n"/>
      <c r="G540" s="25">
        <f>IF(B540="","",MONTH(B540))</f>
        <v/>
      </c>
    </row>
    <row r="541">
      <c r="B541" s="23" t="n"/>
      <c r="C541" s="24" t="n"/>
      <c r="D541" s="24" t="n"/>
      <c r="E541" s="25">
        <f>IF(D541="","",IF(COUNTIF(Setup!$E$8:$E$13,D541)&gt;0,"Income","Expense"))</f>
        <v/>
      </c>
      <c r="F541" s="26" t="n"/>
      <c r="G541" s="25">
        <f>IF(B541="","",MONTH(B541))</f>
        <v/>
      </c>
    </row>
    <row r="542">
      <c r="B542" s="23" t="n"/>
      <c r="C542" s="24" t="n"/>
      <c r="D542" s="24" t="n"/>
      <c r="E542" s="25">
        <f>IF(D542="","",IF(COUNTIF(Setup!$E$8:$E$13,D542)&gt;0,"Income","Expense"))</f>
        <v/>
      </c>
      <c r="F542" s="26" t="n"/>
      <c r="G542" s="25">
        <f>IF(B542="","",MONTH(B542))</f>
        <v/>
      </c>
    </row>
    <row r="543">
      <c r="B543" s="23" t="n"/>
      <c r="C543" s="24" t="n"/>
      <c r="D543" s="24" t="n"/>
      <c r="E543" s="25">
        <f>IF(D543="","",IF(COUNTIF(Setup!$E$8:$E$13,D543)&gt;0,"Income","Expense"))</f>
        <v/>
      </c>
      <c r="F543" s="26" t="n"/>
      <c r="G543" s="25">
        <f>IF(B543="","",MONTH(B543))</f>
        <v/>
      </c>
    </row>
    <row r="544">
      <c r="B544" s="23" t="n"/>
      <c r="C544" s="24" t="n"/>
      <c r="D544" s="24" t="n"/>
      <c r="E544" s="25">
        <f>IF(D544="","",IF(COUNTIF(Setup!$E$8:$E$13,D544)&gt;0,"Income","Expense"))</f>
        <v/>
      </c>
      <c r="F544" s="26" t="n"/>
      <c r="G544" s="25">
        <f>IF(B544="","",MONTH(B544))</f>
        <v/>
      </c>
    </row>
    <row r="545">
      <c r="B545" s="23" t="n"/>
      <c r="C545" s="24" t="n"/>
      <c r="D545" s="24" t="n"/>
      <c r="E545" s="25">
        <f>IF(D545="","",IF(COUNTIF(Setup!$E$8:$E$13,D545)&gt;0,"Income","Expense"))</f>
        <v/>
      </c>
      <c r="F545" s="26" t="n"/>
      <c r="G545" s="25">
        <f>IF(B545="","",MONTH(B545))</f>
        <v/>
      </c>
    </row>
    <row r="546">
      <c r="B546" s="23" t="n"/>
      <c r="C546" s="24" t="n"/>
      <c r="D546" s="24" t="n"/>
      <c r="E546" s="25">
        <f>IF(D546="","",IF(COUNTIF(Setup!$E$8:$E$13,D546)&gt;0,"Income","Expense"))</f>
        <v/>
      </c>
      <c r="F546" s="26" t="n"/>
      <c r="G546" s="25">
        <f>IF(B546="","",MONTH(B546))</f>
        <v/>
      </c>
    </row>
    <row r="547">
      <c r="B547" s="23" t="n"/>
      <c r="C547" s="24" t="n"/>
      <c r="D547" s="24" t="n"/>
      <c r="E547" s="25">
        <f>IF(D547="","",IF(COUNTIF(Setup!$E$8:$E$13,D547)&gt;0,"Income","Expense"))</f>
        <v/>
      </c>
      <c r="F547" s="26" t="n"/>
      <c r="G547" s="25">
        <f>IF(B547="","",MONTH(B547))</f>
        <v/>
      </c>
    </row>
    <row r="548">
      <c r="B548" s="23" t="n"/>
      <c r="C548" s="24" t="n"/>
      <c r="D548" s="24" t="n"/>
      <c r="E548" s="25">
        <f>IF(D548="","",IF(COUNTIF(Setup!$E$8:$E$13,D548)&gt;0,"Income","Expense"))</f>
        <v/>
      </c>
      <c r="F548" s="26" t="n"/>
      <c r="G548" s="25">
        <f>IF(B548="","",MONTH(B548))</f>
        <v/>
      </c>
    </row>
    <row r="549">
      <c r="B549" s="23" t="n"/>
      <c r="C549" s="24" t="n"/>
      <c r="D549" s="24" t="n"/>
      <c r="E549" s="25">
        <f>IF(D549="","",IF(COUNTIF(Setup!$E$8:$E$13,D549)&gt;0,"Income","Expense"))</f>
        <v/>
      </c>
      <c r="F549" s="26" t="n"/>
      <c r="G549" s="25">
        <f>IF(B549="","",MONTH(B549))</f>
        <v/>
      </c>
    </row>
    <row r="550">
      <c r="B550" s="23" t="n"/>
      <c r="C550" s="24" t="n"/>
      <c r="D550" s="24" t="n"/>
      <c r="E550" s="25">
        <f>IF(D550="","",IF(COUNTIF(Setup!$E$8:$E$13,D550)&gt;0,"Income","Expense"))</f>
        <v/>
      </c>
      <c r="F550" s="26" t="n"/>
      <c r="G550" s="25">
        <f>IF(B550="","",MONTH(B550))</f>
        <v/>
      </c>
    </row>
    <row r="551">
      <c r="B551" s="23" t="n"/>
      <c r="C551" s="24" t="n"/>
      <c r="D551" s="24" t="n"/>
      <c r="E551" s="25">
        <f>IF(D551="","",IF(COUNTIF(Setup!$E$8:$E$13,D551)&gt;0,"Income","Expense"))</f>
        <v/>
      </c>
      <c r="F551" s="26" t="n"/>
      <c r="G551" s="25">
        <f>IF(B551="","",MONTH(B551))</f>
        <v/>
      </c>
    </row>
    <row r="552">
      <c r="B552" s="23" t="n"/>
      <c r="C552" s="24" t="n"/>
      <c r="D552" s="24" t="n"/>
      <c r="E552" s="25">
        <f>IF(D552="","",IF(COUNTIF(Setup!$E$8:$E$13,D552)&gt;0,"Income","Expense"))</f>
        <v/>
      </c>
      <c r="F552" s="26" t="n"/>
      <c r="G552" s="25">
        <f>IF(B552="","",MONTH(B552))</f>
        <v/>
      </c>
    </row>
    <row r="553">
      <c r="B553" s="23" t="n"/>
      <c r="C553" s="24" t="n"/>
      <c r="D553" s="24" t="n"/>
      <c r="E553" s="25">
        <f>IF(D553="","",IF(COUNTIF(Setup!$E$8:$E$13,D553)&gt;0,"Income","Expense"))</f>
        <v/>
      </c>
      <c r="F553" s="26" t="n"/>
      <c r="G553" s="25">
        <f>IF(B553="","",MONTH(B553))</f>
        <v/>
      </c>
    </row>
    <row r="554">
      <c r="B554" s="23" t="n"/>
      <c r="C554" s="24" t="n"/>
      <c r="D554" s="24" t="n"/>
      <c r="E554" s="25">
        <f>IF(D554="","",IF(COUNTIF(Setup!$E$8:$E$13,D554)&gt;0,"Income","Expense"))</f>
        <v/>
      </c>
      <c r="F554" s="26" t="n"/>
      <c r="G554" s="25">
        <f>IF(B554="","",MONTH(B554))</f>
        <v/>
      </c>
    </row>
    <row r="555">
      <c r="B555" s="23" t="n"/>
      <c r="C555" s="24" t="n"/>
      <c r="D555" s="24" t="n"/>
      <c r="E555" s="25">
        <f>IF(D555="","",IF(COUNTIF(Setup!$E$8:$E$13,D555)&gt;0,"Income","Expense"))</f>
        <v/>
      </c>
      <c r="F555" s="26" t="n"/>
      <c r="G555" s="25">
        <f>IF(B555="","",MONTH(B555))</f>
        <v/>
      </c>
    </row>
    <row r="556">
      <c r="B556" s="23" t="n"/>
      <c r="C556" s="24" t="n"/>
      <c r="D556" s="24" t="n"/>
      <c r="E556" s="25">
        <f>IF(D556="","",IF(COUNTIF(Setup!$E$8:$E$13,D556)&gt;0,"Income","Expense"))</f>
        <v/>
      </c>
      <c r="F556" s="26" t="n"/>
      <c r="G556" s="25">
        <f>IF(B556="","",MONTH(B556))</f>
        <v/>
      </c>
    </row>
    <row r="557">
      <c r="B557" s="23" t="n"/>
      <c r="C557" s="24" t="n"/>
      <c r="D557" s="24" t="n"/>
      <c r="E557" s="25">
        <f>IF(D557="","",IF(COUNTIF(Setup!$E$8:$E$13,D557)&gt;0,"Income","Expense"))</f>
        <v/>
      </c>
      <c r="F557" s="26" t="n"/>
      <c r="G557" s="25">
        <f>IF(B557="","",MONTH(B557))</f>
        <v/>
      </c>
    </row>
    <row r="558">
      <c r="B558" s="23" t="n"/>
      <c r="C558" s="24" t="n"/>
      <c r="D558" s="24" t="n"/>
      <c r="E558" s="25">
        <f>IF(D558="","",IF(COUNTIF(Setup!$E$8:$E$13,D558)&gt;0,"Income","Expense"))</f>
        <v/>
      </c>
      <c r="F558" s="26" t="n"/>
      <c r="G558" s="25">
        <f>IF(B558="","",MONTH(B558))</f>
        <v/>
      </c>
    </row>
    <row r="559">
      <c r="B559" s="23" t="n"/>
      <c r="C559" s="24" t="n"/>
      <c r="D559" s="24" t="n"/>
      <c r="E559" s="25">
        <f>IF(D559="","",IF(COUNTIF(Setup!$E$8:$E$13,D559)&gt;0,"Income","Expense"))</f>
        <v/>
      </c>
      <c r="F559" s="26" t="n"/>
      <c r="G559" s="25">
        <f>IF(B559="","",MONTH(B559))</f>
        <v/>
      </c>
    </row>
    <row r="560">
      <c r="B560" s="23" t="n"/>
      <c r="C560" s="24" t="n"/>
      <c r="D560" s="24" t="n"/>
      <c r="E560" s="25">
        <f>IF(D560="","",IF(COUNTIF(Setup!$E$8:$E$13,D560)&gt;0,"Income","Expense"))</f>
        <v/>
      </c>
      <c r="F560" s="26" t="n"/>
      <c r="G560" s="25">
        <f>IF(B560="","",MONTH(B560))</f>
        <v/>
      </c>
    </row>
    <row r="561">
      <c r="B561" s="23" t="n"/>
      <c r="C561" s="24" t="n"/>
      <c r="D561" s="24" t="n"/>
      <c r="E561" s="25">
        <f>IF(D561="","",IF(COUNTIF(Setup!$E$8:$E$13,D561)&gt;0,"Income","Expense"))</f>
        <v/>
      </c>
      <c r="F561" s="26" t="n"/>
      <c r="G561" s="25">
        <f>IF(B561="","",MONTH(B561))</f>
        <v/>
      </c>
    </row>
    <row r="562">
      <c r="B562" s="23" t="n"/>
      <c r="C562" s="24" t="n"/>
      <c r="D562" s="24" t="n"/>
      <c r="E562" s="25">
        <f>IF(D562="","",IF(COUNTIF(Setup!$E$8:$E$13,D562)&gt;0,"Income","Expense"))</f>
        <v/>
      </c>
      <c r="F562" s="26" t="n"/>
      <c r="G562" s="25">
        <f>IF(B562="","",MONTH(B562))</f>
        <v/>
      </c>
    </row>
    <row r="563">
      <c r="B563" s="23" t="n"/>
      <c r="C563" s="24" t="n"/>
      <c r="D563" s="24" t="n"/>
      <c r="E563" s="25">
        <f>IF(D563="","",IF(COUNTIF(Setup!$E$8:$E$13,D563)&gt;0,"Income","Expense"))</f>
        <v/>
      </c>
      <c r="F563" s="26" t="n"/>
      <c r="G563" s="25">
        <f>IF(B563="","",MONTH(B563))</f>
        <v/>
      </c>
    </row>
    <row r="564">
      <c r="B564" s="23" t="n"/>
      <c r="C564" s="24" t="n"/>
      <c r="D564" s="24" t="n"/>
      <c r="E564" s="25">
        <f>IF(D564="","",IF(COUNTIF(Setup!$E$8:$E$13,D564)&gt;0,"Income","Expense"))</f>
        <v/>
      </c>
      <c r="F564" s="26" t="n"/>
      <c r="G564" s="25">
        <f>IF(B564="","",MONTH(B564))</f>
        <v/>
      </c>
    </row>
    <row r="565">
      <c r="B565" s="23" t="n"/>
      <c r="C565" s="24" t="n"/>
      <c r="D565" s="24" t="n"/>
      <c r="E565" s="25">
        <f>IF(D565="","",IF(COUNTIF(Setup!$E$8:$E$13,D565)&gt;0,"Income","Expense"))</f>
        <v/>
      </c>
      <c r="F565" s="26" t="n"/>
      <c r="G565" s="25">
        <f>IF(B565="","",MONTH(B565))</f>
        <v/>
      </c>
    </row>
    <row r="566">
      <c r="B566" s="23" t="n"/>
      <c r="C566" s="24" t="n"/>
      <c r="D566" s="24" t="n"/>
      <c r="E566" s="25">
        <f>IF(D566="","",IF(COUNTIF(Setup!$E$8:$E$13,D566)&gt;0,"Income","Expense"))</f>
        <v/>
      </c>
      <c r="F566" s="26" t="n"/>
      <c r="G566" s="25">
        <f>IF(B566="","",MONTH(B566))</f>
        <v/>
      </c>
    </row>
    <row r="567">
      <c r="B567" s="23" t="n"/>
      <c r="C567" s="24" t="n"/>
      <c r="D567" s="24" t="n"/>
      <c r="E567" s="25">
        <f>IF(D567="","",IF(COUNTIF(Setup!$E$8:$E$13,D567)&gt;0,"Income","Expense"))</f>
        <v/>
      </c>
      <c r="F567" s="26" t="n"/>
      <c r="G567" s="25">
        <f>IF(B567="","",MONTH(B567))</f>
        <v/>
      </c>
    </row>
    <row r="568">
      <c r="B568" s="23" t="n"/>
      <c r="C568" s="24" t="n"/>
      <c r="D568" s="24" t="n"/>
      <c r="E568" s="25">
        <f>IF(D568="","",IF(COUNTIF(Setup!$E$8:$E$13,D568)&gt;0,"Income","Expense"))</f>
        <v/>
      </c>
      <c r="F568" s="26" t="n"/>
      <c r="G568" s="25">
        <f>IF(B568="","",MONTH(B568))</f>
        <v/>
      </c>
    </row>
    <row r="569">
      <c r="B569" s="23" t="n"/>
      <c r="C569" s="24" t="n"/>
      <c r="D569" s="24" t="n"/>
      <c r="E569" s="25">
        <f>IF(D569="","",IF(COUNTIF(Setup!$E$8:$E$13,D569)&gt;0,"Income","Expense"))</f>
        <v/>
      </c>
      <c r="F569" s="26" t="n"/>
      <c r="G569" s="25">
        <f>IF(B569="","",MONTH(B569))</f>
        <v/>
      </c>
    </row>
    <row r="570">
      <c r="B570" s="23" t="n"/>
      <c r="C570" s="24" t="n"/>
      <c r="D570" s="24" t="n"/>
      <c r="E570" s="25">
        <f>IF(D570="","",IF(COUNTIF(Setup!$E$8:$E$13,D570)&gt;0,"Income","Expense"))</f>
        <v/>
      </c>
      <c r="F570" s="26" t="n"/>
      <c r="G570" s="25">
        <f>IF(B570="","",MONTH(B570))</f>
        <v/>
      </c>
    </row>
    <row r="571">
      <c r="B571" s="23" t="n"/>
      <c r="C571" s="24" t="n"/>
      <c r="D571" s="24" t="n"/>
      <c r="E571" s="25">
        <f>IF(D571="","",IF(COUNTIF(Setup!$E$8:$E$13,D571)&gt;0,"Income","Expense"))</f>
        <v/>
      </c>
      <c r="F571" s="26" t="n"/>
      <c r="G571" s="25">
        <f>IF(B571="","",MONTH(B571))</f>
        <v/>
      </c>
    </row>
    <row r="572">
      <c r="B572" s="23" t="n"/>
      <c r="C572" s="24" t="n"/>
      <c r="D572" s="24" t="n"/>
      <c r="E572" s="25">
        <f>IF(D572="","",IF(COUNTIF(Setup!$E$8:$E$13,D572)&gt;0,"Income","Expense"))</f>
        <v/>
      </c>
      <c r="F572" s="26" t="n"/>
      <c r="G572" s="25">
        <f>IF(B572="","",MONTH(B572))</f>
        <v/>
      </c>
    </row>
    <row r="573">
      <c r="B573" s="23" t="n"/>
      <c r="C573" s="24" t="n"/>
      <c r="D573" s="24" t="n"/>
      <c r="E573" s="25">
        <f>IF(D573="","",IF(COUNTIF(Setup!$E$8:$E$13,D573)&gt;0,"Income","Expense"))</f>
        <v/>
      </c>
      <c r="F573" s="26" t="n"/>
      <c r="G573" s="25">
        <f>IF(B573="","",MONTH(B573))</f>
        <v/>
      </c>
    </row>
    <row r="574">
      <c r="B574" s="23" t="n"/>
      <c r="C574" s="24" t="n"/>
      <c r="D574" s="24" t="n"/>
      <c r="E574" s="25">
        <f>IF(D574="","",IF(COUNTIF(Setup!$E$8:$E$13,D574)&gt;0,"Income","Expense"))</f>
        <v/>
      </c>
      <c r="F574" s="26" t="n"/>
      <c r="G574" s="25">
        <f>IF(B574="","",MONTH(B574))</f>
        <v/>
      </c>
    </row>
    <row r="575">
      <c r="B575" s="23" t="n"/>
      <c r="C575" s="24" t="n"/>
      <c r="D575" s="24" t="n"/>
      <c r="E575" s="25">
        <f>IF(D575="","",IF(COUNTIF(Setup!$E$8:$E$13,D575)&gt;0,"Income","Expense"))</f>
        <v/>
      </c>
      <c r="F575" s="26" t="n"/>
      <c r="G575" s="25">
        <f>IF(B575="","",MONTH(B575))</f>
        <v/>
      </c>
    </row>
    <row r="576">
      <c r="B576" s="23" t="n"/>
      <c r="C576" s="24" t="n"/>
      <c r="D576" s="24" t="n"/>
      <c r="E576" s="25">
        <f>IF(D576="","",IF(COUNTIF(Setup!$E$8:$E$13,D576)&gt;0,"Income","Expense"))</f>
        <v/>
      </c>
      <c r="F576" s="26" t="n"/>
      <c r="G576" s="25">
        <f>IF(B576="","",MONTH(B576))</f>
        <v/>
      </c>
    </row>
    <row r="577">
      <c r="B577" s="23" t="n"/>
      <c r="C577" s="24" t="n"/>
      <c r="D577" s="24" t="n"/>
      <c r="E577" s="25">
        <f>IF(D577="","",IF(COUNTIF(Setup!$E$8:$E$13,D577)&gt;0,"Income","Expense"))</f>
        <v/>
      </c>
      <c r="F577" s="26" t="n"/>
      <c r="G577" s="25">
        <f>IF(B577="","",MONTH(B577))</f>
        <v/>
      </c>
    </row>
    <row r="578">
      <c r="B578" s="23" t="n"/>
      <c r="C578" s="24" t="n"/>
      <c r="D578" s="24" t="n"/>
      <c r="E578" s="25">
        <f>IF(D578="","",IF(COUNTIF(Setup!$E$8:$E$13,D578)&gt;0,"Income","Expense"))</f>
        <v/>
      </c>
      <c r="F578" s="26" t="n"/>
      <c r="G578" s="25">
        <f>IF(B578="","",MONTH(B578))</f>
        <v/>
      </c>
    </row>
    <row r="579">
      <c r="B579" s="23" t="n"/>
      <c r="C579" s="24" t="n"/>
      <c r="D579" s="24" t="n"/>
      <c r="E579" s="25">
        <f>IF(D579="","",IF(COUNTIF(Setup!$E$8:$E$13,D579)&gt;0,"Income","Expense"))</f>
        <v/>
      </c>
      <c r="F579" s="26" t="n"/>
      <c r="G579" s="25">
        <f>IF(B579="","",MONTH(B579))</f>
        <v/>
      </c>
    </row>
    <row r="580">
      <c r="B580" s="23" t="n"/>
      <c r="C580" s="24" t="n"/>
      <c r="D580" s="24" t="n"/>
      <c r="E580" s="25">
        <f>IF(D580="","",IF(COUNTIF(Setup!$E$8:$E$13,D580)&gt;0,"Income","Expense"))</f>
        <v/>
      </c>
      <c r="F580" s="26" t="n"/>
      <c r="G580" s="25">
        <f>IF(B580="","",MONTH(B580))</f>
        <v/>
      </c>
    </row>
    <row r="581">
      <c r="B581" s="23" t="n"/>
      <c r="C581" s="24" t="n"/>
      <c r="D581" s="24" t="n"/>
      <c r="E581" s="25">
        <f>IF(D581="","",IF(COUNTIF(Setup!$E$8:$E$13,D581)&gt;0,"Income","Expense"))</f>
        <v/>
      </c>
      <c r="F581" s="26" t="n"/>
      <c r="G581" s="25">
        <f>IF(B581="","",MONTH(B581))</f>
        <v/>
      </c>
    </row>
    <row r="582">
      <c r="B582" s="23" t="n"/>
      <c r="C582" s="24" t="n"/>
      <c r="D582" s="24" t="n"/>
      <c r="E582" s="25">
        <f>IF(D582="","",IF(COUNTIF(Setup!$E$8:$E$13,D582)&gt;0,"Income","Expense"))</f>
        <v/>
      </c>
      <c r="F582" s="26" t="n"/>
      <c r="G582" s="25">
        <f>IF(B582="","",MONTH(B582))</f>
        <v/>
      </c>
    </row>
    <row r="583">
      <c r="B583" s="23" t="n"/>
      <c r="C583" s="24" t="n"/>
      <c r="D583" s="24" t="n"/>
      <c r="E583" s="25">
        <f>IF(D583="","",IF(COUNTIF(Setup!$E$8:$E$13,D583)&gt;0,"Income","Expense"))</f>
        <v/>
      </c>
      <c r="F583" s="26" t="n"/>
      <c r="G583" s="25">
        <f>IF(B583="","",MONTH(B583))</f>
        <v/>
      </c>
    </row>
    <row r="584">
      <c r="B584" s="23" t="n"/>
      <c r="C584" s="24" t="n"/>
      <c r="D584" s="24" t="n"/>
      <c r="E584" s="25">
        <f>IF(D584="","",IF(COUNTIF(Setup!$E$8:$E$13,D584)&gt;0,"Income","Expense"))</f>
        <v/>
      </c>
      <c r="F584" s="26" t="n"/>
      <c r="G584" s="25">
        <f>IF(B584="","",MONTH(B584))</f>
        <v/>
      </c>
    </row>
    <row r="585">
      <c r="B585" s="23" t="n"/>
      <c r="C585" s="24" t="n"/>
      <c r="D585" s="24" t="n"/>
      <c r="E585" s="25">
        <f>IF(D585="","",IF(COUNTIF(Setup!$E$8:$E$13,D585)&gt;0,"Income","Expense"))</f>
        <v/>
      </c>
      <c r="F585" s="26" t="n"/>
      <c r="G585" s="25">
        <f>IF(B585="","",MONTH(B585))</f>
        <v/>
      </c>
    </row>
    <row r="586">
      <c r="B586" s="23" t="n"/>
      <c r="C586" s="24" t="n"/>
      <c r="D586" s="24" t="n"/>
      <c r="E586" s="25">
        <f>IF(D586="","",IF(COUNTIF(Setup!$E$8:$E$13,D586)&gt;0,"Income","Expense"))</f>
        <v/>
      </c>
      <c r="F586" s="26" t="n"/>
      <c r="G586" s="25">
        <f>IF(B586="","",MONTH(B586))</f>
        <v/>
      </c>
    </row>
    <row r="587">
      <c r="B587" s="23" t="n"/>
      <c r="C587" s="24" t="n"/>
      <c r="D587" s="24" t="n"/>
      <c r="E587" s="25">
        <f>IF(D587="","",IF(COUNTIF(Setup!$E$8:$E$13,D587)&gt;0,"Income","Expense"))</f>
        <v/>
      </c>
      <c r="F587" s="26" t="n"/>
      <c r="G587" s="25">
        <f>IF(B587="","",MONTH(B587))</f>
        <v/>
      </c>
    </row>
    <row r="588">
      <c r="B588" s="23" t="n"/>
      <c r="C588" s="24" t="n"/>
      <c r="D588" s="24" t="n"/>
      <c r="E588" s="25">
        <f>IF(D588="","",IF(COUNTIF(Setup!$E$8:$E$13,D588)&gt;0,"Income","Expense"))</f>
        <v/>
      </c>
      <c r="F588" s="26" t="n"/>
      <c r="G588" s="25">
        <f>IF(B588="","",MONTH(B588))</f>
        <v/>
      </c>
    </row>
    <row r="589">
      <c r="B589" s="23" t="n"/>
      <c r="C589" s="24" t="n"/>
      <c r="D589" s="24" t="n"/>
      <c r="E589" s="25">
        <f>IF(D589="","",IF(COUNTIF(Setup!$E$8:$E$13,D589)&gt;0,"Income","Expense"))</f>
        <v/>
      </c>
      <c r="F589" s="26" t="n"/>
      <c r="G589" s="25">
        <f>IF(B589="","",MONTH(B589))</f>
        <v/>
      </c>
    </row>
    <row r="590">
      <c r="B590" s="23" t="n"/>
      <c r="C590" s="24" t="n"/>
      <c r="D590" s="24" t="n"/>
      <c r="E590" s="25">
        <f>IF(D590="","",IF(COUNTIF(Setup!$E$8:$E$13,D590)&gt;0,"Income","Expense"))</f>
        <v/>
      </c>
      <c r="F590" s="26" t="n"/>
      <c r="G590" s="25">
        <f>IF(B590="","",MONTH(B590))</f>
        <v/>
      </c>
    </row>
    <row r="591">
      <c r="B591" s="23" t="n"/>
      <c r="C591" s="24" t="n"/>
      <c r="D591" s="24" t="n"/>
      <c r="E591" s="25">
        <f>IF(D591="","",IF(COUNTIF(Setup!$E$8:$E$13,D591)&gt;0,"Income","Expense"))</f>
        <v/>
      </c>
      <c r="F591" s="26" t="n"/>
      <c r="G591" s="25">
        <f>IF(B591="","",MONTH(B591))</f>
        <v/>
      </c>
    </row>
    <row r="592">
      <c r="B592" s="23" t="n"/>
      <c r="C592" s="24" t="n"/>
      <c r="D592" s="24" t="n"/>
      <c r="E592" s="25">
        <f>IF(D592="","",IF(COUNTIF(Setup!$E$8:$E$13,D592)&gt;0,"Income","Expense"))</f>
        <v/>
      </c>
      <c r="F592" s="26" t="n"/>
      <c r="G592" s="25">
        <f>IF(B592="","",MONTH(B592))</f>
        <v/>
      </c>
    </row>
    <row r="593">
      <c r="B593" s="23" t="n"/>
      <c r="C593" s="24" t="n"/>
      <c r="D593" s="24" t="n"/>
      <c r="E593" s="25">
        <f>IF(D593="","",IF(COUNTIF(Setup!$E$8:$E$13,D593)&gt;0,"Income","Expense"))</f>
        <v/>
      </c>
      <c r="F593" s="26" t="n"/>
      <c r="G593" s="25">
        <f>IF(B593="","",MONTH(B593))</f>
        <v/>
      </c>
    </row>
    <row r="594">
      <c r="B594" s="23" t="n"/>
      <c r="C594" s="24" t="n"/>
      <c r="D594" s="24" t="n"/>
      <c r="E594" s="25">
        <f>IF(D594="","",IF(COUNTIF(Setup!$E$8:$E$13,D594)&gt;0,"Income","Expense"))</f>
        <v/>
      </c>
      <c r="F594" s="26" t="n"/>
      <c r="G594" s="25">
        <f>IF(B594="","",MONTH(B594))</f>
        <v/>
      </c>
    </row>
    <row r="595">
      <c r="B595" s="23" t="n"/>
      <c r="C595" s="24" t="n"/>
      <c r="D595" s="24" t="n"/>
      <c r="E595" s="25">
        <f>IF(D595="","",IF(COUNTIF(Setup!$E$8:$E$13,D595)&gt;0,"Income","Expense"))</f>
        <v/>
      </c>
      <c r="F595" s="26" t="n"/>
      <c r="G595" s="25">
        <f>IF(B595="","",MONTH(B595))</f>
        <v/>
      </c>
    </row>
    <row r="596">
      <c r="B596" s="23" t="n"/>
      <c r="C596" s="24" t="n"/>
      <c r="D596" s="24" t="n"/>
      <c r="E596" s="25">
        <f>IF(D596="","",IF(COUNTIF(Setup!$E$8:$E$13,D596)&gt;0,"Income","Expense"))</f>
        <v/>
      </c>
      <c r="F596" s="26" t="n"/>
      <c r="G596" s="25">
        <f>IF(B596="","",MONTH(B596))</f>
        <v/>
      </c>
    </row>
    <row r="597">
      <c r="B597" s="23" t="n"/>
      <c r="C597" s="24" t="n"/>
      <c r="D597" s="24" t="n"/>
      <c r="E597" s="25">
        <f>IF(D597="","",IF(COUNTIF(Setup!$E$8:$E$13,D597)&gt;0,"Income","Expense"))</f>
        <v/>
      </c>
      <c r="F597" s="26" t="n"/>
      <c r="G597" s="25">
        <f>IF(B597="","",MONTH(B597))</f>
        <v/>
      </c>
    </row>
    <row r="598">
      <c r="B598" s="23" t="n"/>
      <c r="C598" s="24" t="n"/>
      <c r="D598" s="24" t="n"/>
      <c r="E598" s="25">
        <f>IF(D598="","",IF(COUNTIF(Setup!$E$8:$E$13,D598)&gt;0,"Income","Expense"))</f>
        <v/>
      </c>
      <c r="F598" s="26" t="n"/>
      <c r="G598" s="25">
        <f>IF(B598="","",MONTH(B598))</f>
        <v/>
      </c>
    </row>
    <row r="599">
      <c r="B599" s="23" t="n"/>
      <c r="C599" s="24" t="n"/>
      <c r="D599" s="24" t="n"/>
      <c r="E599" s="25">
        <f>IF(D599="","",IF(COUNTIF(Setup!$E$8:$E$13,D599)&gt;0,"Income","Expense"))</f>
        <v/>
      </c>
      <c r="F599" s="26" t="n"/>
      <c r="G599" s="25">
        <f>IF(B599="","",MONTH(B599))</f>
        <v/>
      </c>
    </row>
    <row r="600">
      <c r="B600" s="23" t="n"/>
      <c r="C600" s="24" t="n"/>
      <c r="D600" s="24" t="n"/>
      <c r="E600" s="25">
        <f>IF(D600="","",IF(COUNTIF(Setup!$E$8:$E$13,D600)&gt;0,"Income","Expense"))</f>
        <v/>
      </c>
      <c r="F600" s="26" t="n"/>
      <c r="G600" s="25">
        <f>IF(B600="","",MONTH(B600))</f>
        <v/>
      </c>
    </row>
    <row r="601">
      <c r="B601" s="23" t="n"/>
      <c r="C601" s="24" t="n"/>
      <c r="D601" s="24" t="n"/>
      <c r="E601" s="25">
        <f>IF(D601="","",IF(COUNTIF(Setup!$E$8:$E$13,D601)&gt;0,"Income","Expense"))</f>
        <v/>
      </c>
      <c r="F601" s="26" t="n"/>
      <c r="G601" s="25">
        <f>IF(B601="","",MONTH(B601))</f>
        <v/>
      </c>
    </row>
    <row r="602">
      <c r="B602" s="23" t="n"/>
      <c r="C602" s="24" t="n"/>
      <c r="D602" s="24" t="n"/>
      <c r="E602" s="25">
        <f>IF(D602="","",IF(COUNTIF(Setup!$E$8:$E$13,D602)&gt;0,"Income","Expense"))</f>
        <v/>
      </c>
      <c r="F602" s="26" t="n"/>
      <c r="G602" s="25">
        <f>IF(B602="","",MONTH(B602))</f>
        <v/>
      </c>
    </row>
    <row r="603">
      <c r="B603" s="23" t="n"/>
      <c r="C603" s="24" t="n"/>
      <c r="D603" s="24" t="n"/>
      <c r="E603" s="25">
        <f>IF(D603="","",IF(COUNTIF(Setup!$E$8:$E$13,D603)&gt;0,"Income","Expense"))</f>
        <v/>
      </c>
      <c r="F603" s="26" t="n"/>
      <c r="G603" s="25">
        <f>IF(B603="","",MONTH(B603))</f>
        <v/>
      </c>
    </row>
    <row r="604">
      <c r="B604" s="23" t="n"/>
      <c r="C604" s="24" t="n"/>
      <c r="D604" s="24" t="n"/>
      <c r="E604" s="25">
        <f>IF(D604="","",IF(COUNTIF(Setup!$E$8:$E$13,D604)&gt;0,"Income","Expense"))</f>
        <v/>
      </c>
      <c r="F604" s="26" t="n"/>
      <c r="G604" s="25">
        <f>IF(B604="","",MONTH(B604))</f>
        <v/>
      </c>
    </row>
    <row r="605">
      <c r="B605" s="23" t="n"/>
      <c r="C605" s="24" t="n"/>
      <c r="D605" s="24" t="n"/>
      <c r="E605" s="25">
        <f>IF(D605="","",IF(COUNTIF(Setup!$E$8:$E$13,D605)&gt;0,"Income","Expense"))</f>
        <v/>
      </c>
      <c r="F605" s="26" t="n"/>
      <c r="G605" s="25">
        <f>IF(B605="","",MONTH(B605))</f>
        <v/>
      </c>
    </row>
    <row r="606">
      <c r="B606" s="23" t="n"/>
      <c r="C606" s="24" t="n"/>
      <c r="D606" s="24" t="n"/>
      <c r="E606" s="25">
        <f>IF(D606="","",IF(COUNTIF(Setup!$E$8:$E$13,D606)&gt;0,"Income","Expense"))</f>
        <v/>
      </c>
      <c r="F606" s="26" t="n"/>
      <c r="G606" s="25">
        <f>IF(B606="","",MONTH(B606))</f>
        <v/>
      </c>
    </row>
    <row r="607">
      <c r="B607" s="23" t="n"/>
      <c r="C607" s="24" t="n"/>
      <c r="D607" s="24" t="n"/>
      <c r="E607" s="25">
        <f>IF(D607="","",IF(COUNTIF(Setup!$E$8:$E$13,D607)&gt;0,"Income","Expense"))</f>
        <v/>
      </c>
      <c r="F607" s="26" t="n"/>
      <c r="G607" s="25">
        <f>IF(B607="","",MONTH(B607))</f>
        <v/>
      </c>
    </row>
    <row r="608">
      <c r="B608" s="23" t="n"/>
      <c r="C608" s="24" t="n"/>
      <c r="D608" s="24" t="n"/>
      <c r="E608" s="25">
        <f>IF(D608="","",IF(COUNTIF(Setup!$E$8:$E$13,D608)&gt;0,"Income","Expense"))</f>
        <v/>
      </c>
      <c r="F608" s="26" t="n"/>
      <c r="G608" s="25">
        <f>IF(B608="","",MONTH(B608))</f>
        <v/>
      </c>
    </row>
    <row r="609">
      <c r="B609" s="23" t="n"/>
      <c r="C609" s="24" t="n"/>
      <c r="D609" s="24" t="n"/>
      <c r="E609" s="25">
        <f>IF(D609="","",IF(COUNTIF(Setup!$E$8:$E$13,D609)&gt;0,"Income","Expense"))</f>
        <v/>
      </c>
      <c r="F609" s="26" t="n"/>
      <c r="G609" s="25">
        <f>IF(B609="","",MONTH(B609))</f>
        <v/>
      </c>
    </row>
    <row r="610">
      <c r="B610" s="23" t="n"/>
      <c r="C610" s="24" t="n"/>
      <c r="D610" s="24" t="n"/>
      <c r="E610" s="25">
        <f>IF(D610="","",IF(COUNTIF(Setup!$E$8:$E$13,D610)&gt;0,"Income","Expense"))</f>
        <v/>
      </c>
      <c r="F610" s="26" t="n"/>
      <c r="G610" s="25">
        <f>IF(B610="","",MONTH(B610))</f>
        <v/>
      </c>
    </row>
    <row r="611">
      <c r="B611" s="23" t="n"/>
      <c r="C611" s="24" t="n"/>
      <c r="D611" s="24" t="n"/>
      <c r="E611" s="25">
        <f>IF(D611="","",IF(COUNTIF(Setup!$E$8:$E$13,D611)&gt;0,"Income","Expense"))</f>
        <v/>
      </c>
      <c r="F611" s="26" t="n"/>
      <c r="G611" s="25">
        <f>IF(B611="","",MONTH(B611))</f>
        <v/>
      </c>
    </row>
    <row r="612">
      <c r="B612" s="23" t="n"/>
      <c r="C612" s="24" t="n"/>
      <c r="D612" s="24" t="n"/>
      <c r="E612" s="25">
        <f>IF(D612="","",IF(COUNTIF(Setup!$E$8:$E$13,D612)&gt;0,"Income","Expense"))</f>
        <v/>
      </c>
      <c r="F612" s="26" t="n"/>
      <c r="G612" s="25">
        <f>IF(B612="","",MONTH(B612))</f>
        <v/>
      </c>
    </row>
    <row r="613">
      <c r="B613" s="23" t="n"/>
      <c r="C613" s="24" t="n"/>
      <c r="D613" s="24" t="n"/>
      <c r="E613" s="25">
        <f>IF(D613="","",IF(COUNTIF(Setup!$E$8:$E$13,D613)&gt;0,"Income","Expense"))</f>
        <v/>
      </c>
      <c r="F613" s="26" t="n"/>
      <c r="G613" s="25">
        <f>IF(B613="","",MONTH(B613))</f>
        <v/>
      </c>
    </row>
    <row r="614">
      <c r="B614" s="23" t="n"/>
      <c r="C614" s="24" t="n"/>
      <c r="D614" s="24" t="n"/>
      <c r="E614" s="25">
        <f>IF(D614="","",IF(COUNTIF(Setup!$E$8:$E$13,D614)&gt;0,"Income","Expense"))</f>
        <v/>
      </c>
      <c r="F614" s="26" t="n"/>
      <c r="G614" s="25">
        <f>IF(B614="","",MONTH(B614))</f>
        <v/>
      </c>
    </row>
    <row r="615">
      <c r="B615" s="23" t="n"/>
      <c r="C615" s="24" t="n"/>
      <c r="D615" s="24" t="n"/>
      <c r="E615" s="25">
        <f>IF(D615="","",IF(COUNTIF(Setup!$E$8:$E$13,D615)&gt;0,"Income","Expense"))</f>
        <v/>
      </c>
      <c r="F615" s="26" t="n"/>
      <c r="G615" s="25">
        <f>IF(B615="","",MONTH(B615))</f>
        <v/>
      </c>
    </row>
    <row r="616">
      <c r="B616" s="23" t="n"/>
      <c r="C616" s="24" t="n"/>
      <c r="D616" s="24" t="n"/>
      <c r="E616" s="25">
        <f>IF(D616="","",IF(COUNTIF(Setup!$E$8:$E$13,D616)&gt;0,"Income","Expense"))</f>
        <v/>
      </c>
      <c r="F616" s="26" t="n"/>
      <c r="G616" s="25">
        <f>IF(B616="","",MONTH(B616))</f>
        <v/>
      </c>
    </row>
    <row r="617">
      <c r="B617" s="23" t="n"/>
      <c r="C617" s="24" t="n"/>
      <c r="D617" s="24" t="n"/>
      <c r="E617" s="25">
        <f>IF(D617="","",IF(COUNTIF(Setup!$E$8:$E$13,D617)&gt;0,"Income","Expense"))</f>
        <v/>
      </c>
      <c r="F617" s="26" t="n"/>
      <c r="G617" s="25">
        <f>IF(B617="","",MONTH(B617))</f>
        <v/>
      </c>
    </row>
    <row r="618">
      <c r="B618" s="23" t="n"/>
      <c r="C618" s="24" t="n"/>
      <c r="D618" s="24" t="n"/>
      <c r="E618" s="25">
        <f>IF(D618="","",IF(COUNTIF(Setup!$E$8:$E$13,D618)&gt;0,"Income","Expense"))</f>
        <v/>
      </c>
      <c r="F618" s="26" t="n"/>
      <c r="G618" s="25">
        <f>IF(B618="","",MONTH(B618))</f>
        <v/>
      </c>
    </row>
    <row r="619">
      <c r="B619" s="23" t="n"/>
      <c r="C619" s="24" t="n"/>
      <c r="D619" s="24" t="n"/>
      <c r="E619" s="25">
        <f>IF(D619="","",IF(COUNTIF(Setup!$E$8:$E$13,D619)&gt;0,"Income","Expense"))</f>
        <v/>
      </c>
      <c r="F619" s="26" t="n"/>
      <c r="G619" s="25">
        <f>IF(B619="","",MONTH(B619))</f>
        <v/>
      </c>
    </row>
    <row r="620">
      <c r="B620" s="23" t="n"/>
      <c r="C620" s="24" t="n"/>
      <c r="D620" s="24" t="n"/>
      <c r="E620" s="25">
        <f>IF(D620="","",IF(COUNTIF(Setup!$E$8:$E$13,D620)&gt;0,"Income","Expense"))</f>
        <v/>
      </c>
      <c r="F620" s="26" t="n"/>
      <c r="G620" s="25">
        <f>IF(B620="","",MONTH(B620))</f>
        <v/>
      </c>
    </row>
    <row r="621">
      <c r="B621" s="23" t="n"/>
      <c r="C621" s="24" t="n"/>
      <c r="D621" s="24" t="n"/>
      <c r="E621" s="25">
        <f>IF(D621="","",IF(COUNTIF(Setup!$E$8:$E$13,D621)&gt;0,"Income","Expense"))</f>
        <v/>
      </c>
      <c r="F621" s="26" t="n"/>
      <c r="G621" s="25">
        <f>IF(B621="","",MONTH(B621))</f>
        <v/>
      </c>
    </row>
    <row r="622">
      <c r="B622" s="23" t="n"/>
      <c r="C622" s="24" t="n"/>
      <c r="D622" s="24" t="n"/>
      <c r="E622" s="25">
        <f>IF(D622="","",IF(COUNTIF(Setup!$E$8:$E$13,D622)&gt;0,"Income","Expense"))</f>
        <v/>
      </c>
      <c r="F622" s="26" t="n"/>
      <c r="G622" s="25">
        <f>IF(B622="","",MONTH(B622))</f>
        <v/>
      </c>
    </row>
    <row r="623">
      <c r="B623" s="23" t="n"/>
      <c r="C623" s="24" t="n"/>
      <c r="D623" s="24" t="n"/>
      <c r="E623" s="25">
        <f>IF(D623="","",IF(COUNTIF(Setup!$E$8:$E$13,D623)&gt;0,"Income","Expense"))</f>
        <v/>
      </c>
      <c r="F623" s="26" t="n"/>
      <c r="G623" s="25">
        <f>IF(B623="","",MONTH(B623))</f>
        <v/>
      </c>
    </row>
    <row r="624">
      <c r="B624" s="23" t="n"/>
      <c r="C624" s="24" t="n"/>
      <c r="D624" s="24" t="n"/>
      <c r="E624" s="25">
        <f>IF(D624="","",IF(COUNTIF(Setup!$E$8:$E$13,D624)&gt;0,"Income","Expense"))</f>
        <v/>
      </c>
      <c r="F624" s="26" t="n"/>
      <c r="G624" s="25">
        <f>IF(B624="","",MONTH(B624))</f>
        <v/>
      </c>
    </row>
    <row r="625">
      <c r="B625" s="23" t="n"/>
      <c r="C625" s="24" t="n"/>
      <c r="D625" s="24" t="n"/>
      <c r="E625" s="25">
        <f>IF(D625="","",IF(COUNTIF(Setup!$E$8:$E$13,D625)&gt;0,"Income","Expense"))</f>
        <v/>
      </c>
      <c r="F625" s="26" t="n"/>
      <c r="G625" s="25">
        <f>IF(B625="","",MONTH(B625))</f>
        <v/>
      </c>
    </row>
    <row r="626">
      <c r="B626" s="23" t="n"/>
      <c r="C626" s="24" t="n"/>
      <c r="D626" s="24" t="n"/>
      <c r="E626" s="25">
        <f>IF(D626="","",IF(COUNTIF(Setup!$E$8:$E$13,D626)&gt;0,"Income","Expense"))</f>
        <v/>
      </c>
      <c r="F626" s="26" t="n"/>
      <c r="G626" s="25">
        <f>IF(B626="","",MONTH(B626))</f>
        <v/>
      </c>
    </row>
    <row r="627">
      <c r="B627" s="23" t="n"/>
      <c r="C627" s="24" t="n"/>
      <c r="D627" s="24" t="n"/>
      <c r="E627" s="25">
        <f>IF(D627="","",IF(COUNTIF(Setup!$E$8:$E$13,D627)&gt;0,"Income","Expense"))</f>
        <v/>
      </c>
      <c r="F627" s="26" t="n"/>
      <c r="G627" s="25">
        <f>IF(B627="","",MONTH(B627))</f>
        <v/>
      </c>
    </row>
    <row r="628">
      <c r="B628" s="23" t="n"/>
      <c r="C628" s="24" t="n"/>
      <c r="D628" s="24" t="n"/>
      <c r="E628" s="25">
        <f>IF(D628="","",IF(COUNTIF(Setup!$E$8:$E$13,D628)&gt;0,"Income","Expense"))</f>
        <v/>
      </c>
      <c r="F628" s="26" t="n"/>
      <c r="G628" s="25">
        <f>IF(B628="","",MONTH(B628))</f>
        <v/>
      </c>
    </row>
    <row r="629">
      <c r="B629" s="23" t="n"/>
      <c r="C629" s="24" t="n"/>
      <c r="D629" s="24" t="n"/>
      <c r="E629" s="25">
        <f>IF(D629="","",IF(COUNTIF(Setup!$E$8:$E$13,D629)&gt;0,"Income","Expense"))</f>
        <v/>
      </c>
      <c r="F629" s="26" t="n"/>
      <c r="G629" s="25">
        <f>IF(B629="","",MONTH(B629))</f>
        <v/>
      </c>
    </row>
    <row r="630">
      <c r="B630" s="23" t="n"/>
      <c r="C630" s="24" t="n"/>
      <c r="D630" s="24" t="n"/>
      <c r="E630" s="25">
        <f>IF(D630="","",IF(COUNTIF(Setup!$E$8:$E$13,D630)&gt;0,"Income","Expense"))</f>
        <v/>
      </c>
      <c r="F630" s="26" t="n"/>
      <c r="G630" s="25">
        <f>IF(B630="","",MONTH(B630))</f>
        <v/>
      </c>
    </row>
    <row r="631">
      <c r="B631" s="23" t="n"/>
      <c r="C631" s="24" t="n"/>
      <c r="D631" s="24" t="n"/>
      <c r="E631" s="25">
        <f>IF(D631="","",IF(COUNTIF(Setup!$E$8:$E$13,D631)&gt;0,"Income","Expense"))</f>
        <v/>
      </c>
      <c r="F631" s="26" t="n"/>
      <c r="G631" s="25">
        <f>IF(B631="","",MONTH(B631))</f>
        <v/>
      </c>
    </row>
    <row r="632">
      <c r="B632" s="23" t="n"/>
      <c r="C632" s="24" t="n"/>
      <c r="D632" s="24" t="n"/>
      <c r="E632" s="25">
        <f>IF(D632="","",IF(COUNTIF(Setup!$E$8:$E$13,D632)&gt;0,"Income","Expense"))</f>
        <v/>
      </c>
      <c r="F632" s="26" t="n"/>
      <c r="G632" s="25">
        <f>IF(B632="","",MONTH(B632))</f>
        <v/>
      </c>
    </row>
    <row r="633">
      <c r="B633" s="23" t="n"/>
      <c r="C633" s="24" t="n"/>
      <c r="D633" s="24" t="n"/>
      <c r="E633" s="25">
        <f>IF(D633="","",IF(COUNTIF(Setup!$E$8:$E$13,D633)&gt;0,"Income","Expense"))</f>
        <v/>
      </c>
      <c r="F633" s="26" t="n"/>
      <c r="G633" s="25">
        <f>IF(B633="","",MONTH(B633))</f>
        <v/>
      </c>
    </row>
    <row r="634">
      <c r="B634" s="23" t="n"/>
      <c r="C634" s="24" t="n"/>
      <c r="D634" s="24" t="n"/>
      <c r="E634" s="25">
        <f>IF(D634="","",IF(COUNTIF(Setup!$E$8:$E$13,D634)&gt;0,"Income","Expense"))</f>
        <v/>
      </c>
      <c r="F634" s="26" t="n"/>
      <c r="G634" s="25">
        <f>IF(B634="","",MONTH(B634))</f>
        <v/>
      </c>
    </row>
    <row r="635">
      <c r="B635" s="23" t="n"/>
      <c r="C635" s="24" t="n"/>
      <c r="D635" s="24" t="n"/>
      <c r="E635" s="25">
        <f>IF(D635="","",IF(COUNTIF(Setup!$E$8:$E$13,D635)&gt;0,"Income","Expense"))</f>
        <v/>
      </c>
      <c r="F635" s="26" t="n"/>
      <c r="G635" s="25">
        <f>IF(B635="","",MONTH(B635))</f>
        <v/>
      </c>
    </row>
    <row r="636">
      <c r="B636" s="23" t="n"/>
      <c r="C636" s="24" t="n"/>
      <c r="D636" s="24" t="n"/>
      <c r="E636" s="25">
        <f>IF(D636="","",IF(COUNTIF(Setup!$E$8:$E$13,D636)&gt;0,"Income","Expense"))</f>
        <v/>
      </c>
      <c r="F636" s="26" t="n"/>
      <c r="G636" s="25">
        <f>IF(B636="","",MONTH(B636))</f>
        <v/>
      </c>
    </row>
    <row r="637">
      <c r="B637" s="23" t="n"/>
      <c r="C637" s="24" t="n"/>
      <c r="D637" s="24" t="n"/>
      <c r="E637" s="25">
        <f>IF(D637="","",IF(COUNTIF(Setup!$E$8:$E$13,D637)&gt;0,"Income","Expense"))</f>
        <v/>
      </c>
      <c r="F637" s="26" t="n"/>
      <c r="G637" s="25">
        <f>IF(B637="","",MONTH(B637))</f>
        <v/>
      </c>
    </row>
    <row r="638">
      <c r="B638" s="23" t="n"/>
      <c r="C638" s="24" t="n"/>
      <c r="D638" s="24" t="n"/>
      <c r="E638" s="25">
        <f>IF(D638="","",IF(COUNTIF(Setup!$E$8:$E$13,D638)&gt;0,"Income","Expense"))</f>
        <v/>
      </c>
      <c r="F638" s="26" t="n"/>
      <c r="G638" s="25">
        <f>IF(B638="","",MONTH(B638))</f>
        <v/>
      </c>
    </row>
    <row r="639">
      <c r="B639" s="23" t="n"/>
      <c r="C639" s="24" t="n"/>
      <c r="D639" s="24" t="n"/>
      <c r="E639" s="25">
        <f>IF(D639="","",IF(COUNTIF(Setup!$E$8:$E$13,D639)&gt;0,"Income","Expense"))</f>
        <v/>
      </c>
      <c r="F639" s="26" t="n"/>
      <c r="G639" s="25">
        <f>IF(B639="","",MONTH(B639))</f>
        <v/>
      </c>
    </row>
    <row r="640">
      <c r="B640" s="23" t="n"/>
      <c r="C640" s="24" t="n"/>
      <c r="D640" s="24" t="n"/>
      <c r="E640" s="25">
        <f>IF(D640="","",IF(COUNTIF(Setup!$E$8:$E$13,D640)&gt;0,"Income","Expense"))</f>
        <v/>
      </c>
      <c r="F640" s="26" t="n"/>
      <c r="G640" s="25">
        <f>IF(B640="","",MONTH(B640))</f>
        <v/>
      </c>
    </row>
    <row r="641">
      <c r="B641" s="23" t="n"/>
      <c r="C641" s="24" t="n"/>
      <c r="D641" s="24" t="n"/>
      <c r="E641" s="25">
        <f>IF(D641="","",IF(COUNTIF(Setup!$E$8:$E$13,D641)&gt;0,"Income","Expense"))</f>
        <v/>
      </c>
      <c r="F641" s="26" t="n"/>
      <c r="G641" s="25">
        <f>IF(B641="","",MONTH(B641))</f>
        <v/>
      </c>
    </row>
    <row r="642">
      <c r="B642" s="23" t="n"/>
      <c r="C642" s="24" t="n"/>
      <c r="D642" s="24" t="n"/>
      <c r="E642" s="25">
        <f>IF(D642="","",IF(COUNTIF(Setup!$E$8:$E$13,D642)&gt;0,"Income","Expense"))</f>
        <v/>
      </c>
      <c r="F642" s="26" t="n"/>
      <c r="G642" s="25">
        <f>IF(B642="","",MONTH(B642))</f>
        <v/>
      </c>
    </row>
    <row r="643">
      <c r="B643" s="23" t="n"/>
      <c r="C643" s="24" t="n"/>
      <c r="D643" s="24" t="n"/>
      <c r="E643" s="25">
        <f>IF(D643="","",IF(COUNTIF(Setup!$E$8:$E$13,D643)&gt;0,"Income","Expense"))</f>
        <v/>
      </c>
      <c r="F643" s="26" t="n"/>
      <c r="G643" s="25">
        <f>IF(B643="","",MONTH(B643))</f>
        <v/>
      </c>
    </row>
    <row r="644">
      <c r="B644" s="23" t="n"/>
      <c r="C644" s="24" t="n"/>
      <c r="D644" s="24" t="n"/>
      <c r="E644" s="25">
        <f>IF(D644="","",IF(COUNTIF(Setup!$E$8:$E$13,D644)&gt;0,"Income","Expense"))</f>
        <v/>
      </c>
      <c r="F644" s="26" t="n"/>
      <c r="G644" s="25">
        <f>IF(B644="","",MONTH(B644))</f>
        <v/>
      </c>
    </row>
    <row r="645">
      <c r="B645" s="23" t="n"/>
      <c r="C645" s="24" t="n"/>
      <c r="D645" s="24" t="n"/>
      <c r="E645" s="25">
        <f>IF(D645="","",IF(COUNTIF(Setup!$E$8:$E$13,D645)&gt;0,"Income","Expense"))</f>
        <v/>
      </c>
      <c r="F645" s="26" t="n"/>
      <c r="G645" s="25">
        <f>IF(B645="","",MONTH(B645))</f>
        <v/>
      </c>
    </row>
    <row r="646">
      <c r="B646" s="23" t="n"/>
      <c r="C646" s="24" t="n"/>
      <c r="D646" s="24" t="n"/>
      <c r="E646" s="25">
        <f>IF(D646="","",IF(COUNTIF(Setup!$E$8:$E$13,D646)&gt;0,"Income","Expense"))</f>
        <v/>
      </c>
      <c r="F646" s="26" t="n"/>
      <c r="G646" s="25">
        <f>IF(B646="","",MONTH(B646))</f>
        <v/>
      </c>
    </row>
    <row r="647">
      <c r="B647" s="23" t="n"/>
      <c r="C647" s="24" t="n"/>
      <c r="D647" s="24" t="n"/>
      <c r="E647" s="25">
        <f>IF(D647="","",IF(COUNTIF(Setup!$E$8:$E$13,D647)&gt;0,"Income","Expense"))</f>
        <v/>
      </c>
      <c r="F647" s="26" t="n"/>
      <c r="G647" s="25">
        <f>IF(B647="","",MONTH(B647))</f>
        <v/>
      </c>
    </row>
    <row r="648">
      <c r="B648" s="23" t="n"/>
      <c r="C648" s="24" t="n"/>
      <c r="D648" s="24" t="n"/>
      <c r="E648" s="25">
        <f>IF(D648="","",IF(COUNTIF(Setup!$E$8:$E$13,D648)&gt;0,"Income","Expense"))</f>
        <v/>
      </c>
      <c r="F648" s="26" t="n"/>
      <c r="G648" s="25">
        <f>IF(B648="","",MONTH(B648))</f>
        <v/>
      </c>
    </row>
    <row r="649">
      <c r="B649" s="23" t="n"/>
      <c r="C649" s="24" t="n"/>
      <c r="D649" s="24" t="n"/>
      <c r="E649" s="25">
        <f>IF(D649="","",IF(COUNTIF(Setup!$E$8:$E$13,D649)&gt;0,"Income","Expense"))</f>
        <v/>
      </c>
      <c r="F649" s="26" t="n"/>
      <c r="G649" s="25">
        <f>IF(B649="","",MONTH(B649))</f>
        <v/>
      </c>
    </row>
    <row r="650">
      <c r="B650" s="23" t="n"/>
      <c r="C650" s="24" t="n"/>
      <c r="D650" s="24" t="n"/>
      <c r="E650" s="25">
        <f>IF(D650="","",IF(COUNTIF(Setup!$E$8:$E$13,D650)&gt;0,"Income","Expense"))</f>
        <v/>
      </c>
      <c r="F650" s="26" t="n"/>
      <c r="G650" s="25">
        <f>IF(B650="","",MONTH(B650))</f>
        <v/>
      </c>
    </row>
    <row r="651">
      <c r="B651" s="23" t="n"/>
      <c r="C651" s="24" t="n"/>
      <c r="D651" s="24" t="n"/>
      <c r="E651" s="25">
        <f>IF(D651="","",IF(COUNTIF(Setup!$E$8:$E$13,D651)&gt;0,"Income","Expense"))</f>
        <v/>
      </c>
      <c r="F651" s="26" t="n"/>
      <c r="G651" s="25">
        <f>IF(B651="","",MONTH(B651))</f>
        <v/>
      </c>
    </row>
    <row r="652">
      <c r="B652" s="23" t="n"/>
      <c r="C652" s="24" t="n"/>
      <c r="D652" s="24" t="n"/>
      <c r="E652" s="25">
        <f>IF(D652="","",IF(COUNTIF(Setup!$E$8:$E$13,D652)&gt;0,"Income","Expense"))</f>
        <v/>
      </c>
      <c r="F652" s="26" t="n"/>
      <c r="G652" s="25">
        <f>IF(B652="","",MONTH(B652))</f>
        <v/>
      </c>
    </row>
    <row r="653">
      <c r="B653" s="23" t="n"/>
      <c r="C653" s="24" t="n"/>
      <c r="D653" s="24" t="n"/>
      <c r="E653" s="25">
        <f>IF(D653="","",IF(COUNTIF(Setup!$E$8:$E$13,D653)&gt;0,"Income","Expense"))</f>
        <v/>
      </c>
      <c r="F653" s="26" t="n"/>
      <c r="G653" s="25">
        <f>IF(B653="","",MONTH(B653))</f>
        <v/>
      </c>
    </row>
    <row r="654">
      <c r="B654" s="23" t="n"/>
      <c r="C654" s="24" t="n"/>
      <c r="D654" s="24" t="n"/>
      <c r="E654" s="25">
        <f>IF(D654="","",IF(COUNTIF(Setup!$E$8:$E$13,D654)&gt;0,"Income","Expense"))</f>
        <v/>
      </c>
      <c r="F654" s="26" t="n"/>
      <c r="G654" s="25">
        <f>IF(B654="","",MONTH(B654))</f>
        <v/>
      </c>
    </row>
    <row r="655">
      <c r="B655" s="23" t="n"/>
      <c r="C655" s="24" t="n"/>
      <c r="D655" s="24" t="n"/>
      <c r="E655" s="25">
        <f>IF(D655="","",IF(COUNTIF(Setup!$E$8:$E$13,D655)&gt;0,"Income","Expense"))</f>
        <v/>
      </c>
      <c r="F655" s="26" t="n"/>
      <c r="G655" s="25">
        <f>IF(B655="","",MONTH(B655))</f>
        <v/>
      </c>
    </row>
    <row r="656">
      <c r="B656" s="23" t="n"/>
      <c r="C656" s="24" t="n"/>
      <c r="D656" s="24" t="n"/>
      <c r="E656" s="25">
        <f>IF(D656="","",IF(COUNTIF(Setup!$E$8:$E$13,D656)&gt;0,"Income","Expense"))</f>
        <v/>
      </c>
      <c r="F656" s="26" t="n"/>
      <c r="G656" s="25">
        <f>IF(B656="","",MONTH(B656))</f>
        <v/>
      </c>
    </row>
    <row r="657">
      <c r="B657" s="23" t="n"/>
      <c r="C657" s="24" t="n"/>
      <c r="D657" s="24" t="n"/>
      <c r="E657" s="25">
        <f>IF(D657="","",IF(COUNTIF(Setup!$E$8:$E$13,D657)&gt;0,"Income","Expense"))</f>
        <v/>
      </c>
      <c r="F657" s="26" t="n"/>
      <c r="G657" s="25">
        <f>IF(B657="","",MONTH(B657))</f>
        <v/>
      </c>
    </row>
    <row r="658">
      <c r="B658" s="23" t="n"/>
      <c r="C658" s="24" t="n"/>
      <c r="D658" s="24" t="n"/>
      <c r="E658" s="25">
        <f>IF(D658="","",IF(COUNTIF(Setup!$E$8:$E$13,D658)&gt;0,"Income","Expense"))</f>
        <v/>
      </c>
      <c r="F658" s="26" t="n"/>
      <c r="G658" s="25">
        <f>IF(B658="","",MONTH(B658))</f>
        <v/>
      </c>
    </row>
    <row r="659">
      <c r="B659" s="23" t="n"/>
      <c r="C659" s="24" t="n"/>
      <c r="D659" s="24" t="n"/>
      <c r="E659" s="25">
        <f>IF(D659="","",IF(COUNTIF(Setup!$E$8:$E$13,D659)&gt;0,"Income","Expense"))</f>
        <v/>
      </c>
      <c r="F659" s="26" t="n"/>
      <c r="G659" s="25">
        <f>IF(B659="","",MONTH(B659))</f>
        <v/>
      </c>
    </row>
    <row r="660">
      <c r="B660" s="23" t="n"/>
      <c r="C660" s="24" t="n"/>
      <c r="D660" s="24" t="n"/>
      <c r="E660" s="25">
        <f>IF(D660="","",IF(COUNTIF(Setup!$E$8:$E$13,D660)&gt;0,"Income","Expense"))</f>
        <v/>
      </c>
      <c r="F660" s="26" t="n"/>
      <c r="G660" s="25">
        <f>IF(B660="","",MONTH(B660))</f>
        <v/>
      </c>
    </row>
    <row r="661">
      <c r="B661" s="23" t="n"/>
      <c r="C661" s="24" t="n"/>
      <c r="D661" s="24" t="n"/>
      <c r="E661" s="25">
        <f>IF(D661="","",IF(COUNTIF(Setup!$E$8:$E$13,D661)&gt;0,"Income","Expense"))</f>
        <v/>
      </c>
      <c r="F661" s="26" t="n"/>
      <c r="G661" s="25">
        <f>IF(B661="","",MONTH(B661))</f>
        <v/>
      </c>
    </row>
    <row r="662">
      <c r="B662" s="23" t="n"/>
      <c r="C662" s="24" t="n"/>
      <c r="D662" s="24" t="n"/>
      <c r="E662" s="25">
        <f>IF(D662="","",IF(COUNTIF(Setup!$E$8:$E$13,D662)&gt;0,"Income","Expense"))</f>
        <v/>
      </c>
      <c r="F662" s="26" t="n"/>
      <c r="G662" s="25">
        <f>IF(B662="","",MONTH(B662))</f>
        <v/>
      </c>
    </row>
    <row r="663">
      <c r="B663" s="23" t="n"/>
      <c r="C663" s="24" t="n"/>
      <c r="D663" s="24" t="n"/>
      <c r="E663" s="25">
        <f>IF(D663="","",IF(COUNTIF(Setup!$E$8:$E$13,D663)&gt;0,"Income","Expense"))</f>
        <v/>
      </c>
      <c r="F663" s="26" t="n"/>
      <c r="G663" s="25">
        <f>IF(B663="","",MONTH(B663))</f>
        <v/>
      </c>
    </row>
    <row r="664">
      <c r="B664" s="23" t="n"/>
      <c r="C664" s="24" t="n"/>
      <c r="D664" s="24" t="n"/>
      <c r="E664" s="25">
        <f>IF(D664="","",IF(COUNTIF(Setup!$E$8:$E$13,D664)&gt;0,"Income","Expense"))</f>
        <v/>
      </c>
      <c r="F664" s="26" t="n"/>
      <c r="G664" s="25">
        <f>IF(B664="","",MONTH(B664))</f>
        <v/>
      </c>
    </row>
    <row r="665">
      <c r="B665" s="23" t="n"/>
      <c r="C665" s="24" t="n"/>
      <c r="D665" s="24" t="n"/>
      <c r="E665" s="25">
        <f>IF(D665="","",IF(COUNTIF(Setup!$E$8:$E$13,D665)&gt;0,"Income","Expense"))</f>
        <v/>
      </c>
      <c r="F665" s="26" t="n"/>
      <c r="G665" s="25">
        <f>IF(B665="","",MONTH(B665))</f>
        <v/>
      </c>
    </row>
    <row r="666">
      <c r="B666" s="23" t="n"/>
      <c r="C666" s="24" t="n"/>
      <c r="D666" s="24" t="n"/>
      <c r="E666" s="25">
        <f>IF(D666="","",IF(COUNTIF(Setup!$E$8:$E$13,D666)&gt;0,"Income","Expense"))</f>
        <v/>
      </c>
      <c r="F666" s="26" t="n"/>
      <c r="G666" s="25">
        <f>IF(B666="","",MONTH(B666))</f>
        <v/>
      </c>
    </row>
    <row r="667">
      <c r="B667" s="23" t="n"/>
      <c r="C667" s="24" t="n"/>
      <c r="D667" s="24" t="n"/>
      <c r="E667" s="25">
        <f>IF(D667="","",IF(COUNTIF(Setup!$E$8:$E$13,D667)&gt;0,"Income","Expense"))</f>
        <v/>
      </c>
      <c r="F667" s="26" t="n"/>
      <c r="G667" s="25">
        <f>IF(B667="","",MONTH(B667))</f>
        <v/>
      </c>
    </row>
    <row r="668">
      <c r="B668" s="23" t="n"/>
      <c r="C668" s="24" t="n"/>
      <c r="D668" s="24" t="n"/>
      <c r="E668" s="25">
        <f>IF(D668="","",IF(COUNTIF(Setup!$E$8:$E$13,D668)&gt;0,"Income","Expense"))</f>
        <v/>
      </c>
      <c r="F668" s="26" t="n"/>
      <c r="G668" s="25">
        <f>IF(B668="","",MONTH(B668))</f>
        <v/>
      </c>
    </row>
    <row r="669">
      <c r="B669" s="23" t="n"/>
      <c r="C669" s="24" t="n"/>
      <c r="D669" s="24" t="n"/>
      <c r="E669" s="25">
        <f>IF(D669="","",IF(COUNTIF(Setup!$E$8:$E$13,D669)&gt;0,"Income","Expense"))</f>
        <v/>
      </c>
      <c r="F669" s="26" t="n"/>
      <c r="G669" s="25">
        <f>IF(B669="","",MONTH(B669))</f>
        <v/>
      </c>
    </row>
    <row r="670">
      <c r="B670" s="23" t="n"/>
      <c r="C670" s="24" t="n"/>
      <c r="D670" s="24" t="n"/>
      <c r="E670" s="25">
        <f>IF(D670="","",IF(COUNTIF(Setup!$E$8:$E$13,D670)&gt;0,"Income","Expense"))</f>
        <v/>
      </c>
      <c r="F670" s="26" t="n"/>
      <c r="G670" s="25">
        <f>IF(B670="","",MONTH(B670))</f>
        <v/>
      </c>
    </row>
    <row r="671">
      <c r="B671" s="23" t="n"/>
      <c r="C671" s="24" t="n"/>
      <c r="D671" s="24" t="n"/>
      <c r="E671" s="25">
        <f>IF(D671="","",IF(COUNTIF(Setup!$E$8:$E$13,D671)&gt;0,"Income","Expense"))</f>
        <v/>
      </c>
      <c r="F671" s="26" t="n"/>
      <c r="G671" s="25">
        <f>IF(B671="","",MONTH(B671))</f>
        <v/>
      </c>
    </row>
    <row r="672">
      <c r="B672" s="23" t="n"/>
      <c r="C672" s="24" t="n"/>
      <c r="D672" s="24" t="n"/>
      <c r="E672" s="25">
        <f>IF(D672="","",IF(COUNTIF(Setup!$E$8:$E$13,D672)&gt;0,"Income","Expense"))</f>
        <v/>
      </c>
      <c r="F672" s="26" t="n"/>
      <c r="G672" s="25">
        <f>IF(B672="","",MONTH(B672))</f>
        <v/>
      </c>
    </row>
    <row r="673">
      <c r="B673" s="23" t="n"/>
      <c r="C673" s="24" t="n"/>
      <c r="D673" s="24" t="n"/>
      <c r="E673" s="25">
        <f>IF(D673="","",IF(COUNTIF(Setup!$E$8:$E$13,D673)&gt;0,"Income","Expense"))</f>
        <v/>
      </c>
      <c r="F673" s="26" t="n"/>
      <c r="G673" s="25">
        <f>IF(B673="","",MONTH(B673))</f>
        <v/>
      </c>
    </row>
    <row r="674">
      <c r="B674" s="23" t="n"/>
      <c r="C674" s="24" t="n"/>
      <c r="D674" s="24" t="n"/>
      <c r="E674" s="25">
        <f>IF(D674="","",IF(COUNTIF(Setup!$E$8:$E$13,D674)&gt;0,"Income","Expense"))</f>
        <v/>
      </c>
      <c r="F674" s="26" t="n"/>
      <c r="G674" s="25">
        <f>IF(B674="","",MONTH(B674))</f>
        <v/>
      </c>
    </row>
    <row r="675">
      <c r="B675" s="23" t="n"/>
      <c r="C675" s="24" t="n"/>
      <c r="D675" s="24" t="n"/>
      <c r="E675" s="25">
        <f>IF(D675="","",IF(COUNTIF(Setup!$E$8:$E$13,D675)&gt;0,"Income","Expense"))</f>
        <v/>
      </c>
      <c r="F675" s="26" t="n"/>
      <c r="G675" s="25">
        <f>IF(B675="","",MONTH(B675))</f>
        <v/>
      </c>
    </row>
    <row r="676">
      <c r="B676" s="23" t="n"/>
      <c r="C676" s="24" t="n"/>
      <c r="D676" s="24" t="n"/>
      <c r="E676" s="25">
        <f>IF(D676="","",IF(COUNTIF(Setup!$E$8:$E$13,D676)&gt;0,"Income","Expense"))</f>
        <v/>
      </c>
      <c r="F676" s="26" t="n"/>
      <c r="G676" s="25">
        <f>IF(B676="","",MONTH(B676))</f>
        <v/>
      </c>
    </row>
    <row r="677">
      <c r="B677" s="23" t="n"/>
      <c r="C677" s="24" t="n"/>
      <c r="D677" s="24" t="n"/>
      <c r="E677" s="25">
        <f>IF(D677="","",IF(COUNTIF(Setup!$E$8:$E$13,D677)&gt;0,"Income","Expense"))</f>
        <v/>
      </c>
      <c r="F677" s="26" t="n"/>
      <c r="G677" s="25">
        <f>IF(B677="","",MONTH(B677))</f>
        <v/>
      </c>
    </row>
    <row r="678">
      <c r="B678" s="23" t="n"/>
      <c r="C678" s="24" t="n"/>
      <c r="D678" s="24" t="n"/>
      <c r="E678" s="25">
        <f>IF(D678="","",IF(COUNTIF(Setup!$E$8:$E$13,D678)&gt;0,"Income","Expense"))</f>
        <v/>
      </c>
      <c r="F678" s="26" t="n"/>
      <c r="G678" s="25">
        <f>IF(B678="","",MONTH(B678))</f>
        <v/>
      </c>
    </row>
    <row r="679">
      <c r="B679" s="23" t="n"/>
      <c r="C679" s="24" t="n"/>
      <c r="D679" s="24" t="n"/>
      <c r="E679" s="25">
        <f>IF(D679="","",IF(COUNTIF(Setup!$E$8:$E$13,D679)&gt;0,"Income","Expense"))</f>
        <v/>
      </c>
      <c r="F679" s="26" t="n"/>
      <c r="G679" s="25">
        <f>IF(B679="","",MONTH(B679))</f>
        <v/>
      </c>
    </row>
    <row r="680">
      <c r="B680" s="23" t="n"/>
      <c r="C680" s="24" t="n"/>
      <c r="D680" s="24" t="n"/>
      <c r="E680" s="25">
        <f>IF(D680="","",IF(COUNTIF(Setup!$E$8:$E$13,D680)&gt;0,"Income","Expense"))</f>
        <v/>
      </c>
      <c r="F680" s="26" t="n"/>
      <c r="G680" s="25">
        <f>IF(B680="","",MONTH(B680))</f>
        <v/>
      </c>
    </row>
    <row r="681">
      <c r="B681" s="23" t="n"/>
      <c r="C681" s="24" t="n"/>
      <c r="D681" s="24" t="n"/>
      <c r="E681" s="25">
        <f>IF(D681="","",IF(COUNTIF(Setup!$E$8:$E$13,D681)&gt;0,"Income","Expense"))</f>
        <v/>
      </c>
      <c r="F681" s="26" t="n"/>
      <c r="G681" s="25">
        <f>IF(B681="","",MONTH(B681))</f>
        <v/>
      </c>
    </row>
    <row r="682">
      <c r="B682" s="23" t="n"/>
      <c r="C682" s="24" t="n"/>
      <c r="D682" s="24" t="n"/>
      <c r="E682" s="25">
        <f>IF(D682="","",IF(COUNTIF(Setup!$E$8:$E$13,D682)&gt;0,"Income","Expense"))</f>
        <v/>
      </c>
      <c r="F682" s="26" t="n"/>
      <c r="G682" s="25">
        <f>IF(B682="","",MONTH(B682))</f>
        <v/>
      </c>
    </row>
    <row r="683">
      <c r="B683" s="23" t="n"/>
      <c r="C683" s="24" t="n"/>
      <c r="D683" s="24" t="n"/>
      <c r="E683" s="25">
        <f>IF(D683="","",IF(COUNTIF(Setup!$E$8:$E$13,D683)&gt;0,"Income","Expense"))</f>
        <v/>
      </c>
      <c r="F683" s="26" t="n"/>
      <c r="G683" s="25">
        <f>IF(B683="","",MONTH(B683))</f>
        <v/>
      </c>
    </row>
    <row r="684">
      <c r="B684" s="23" t="n"/>
      <c r="C684" s="24" t="n"/>
      <c r="D684" s="24" t="n"/>
      <c r="E684" s="25">
        <f>IF(D684="","",IF(COUNTIF(Setup!$E$8:$E$13,D684)&gt;0,"Income","Expense"))</f>
        <v/>
      </c>
      <c r="F684" s="26" t="n"/>
      <c r="G684" s="25">
        <f>IF(B684="","",MONTH(B684))</f>
        <v/>
      </c>
    </row>
    <row r="685">
      <c r="B685" s="23" t="n"/>
      <c r="C685" s="24" t="n"/>
      <c r="D685" s="24" t="n"/>
      <c r="E685" s="25">
        <f>IF(D685="","",IF(COUNTIF(Setup!$E$8:$E$13,D685)&gt;0,"Income","Expense"))</f>
        <v/>
      </c>
      <c r="F685" s="26" t="n"/>
      <c r="G685" s="25">
        <f>IF(B685="","",MONTH(B685))</f>
        <v/>
      </c>
    </row>
    <row r="686">
      <c r="B686" s="23" t="n"/>
      <c r="C686" s="24" t="n"/>
      <c r="D686" s="24" t="n"/>
      <c r="E686" s="25">
        <f>IF(D686="","",IF(COUNTIF(Setup!$E$8:$E$13,D686)&gt;0,"Income","Expense"))</f>
        <v/>
      </c>
      <c r="F686" s="26" t="n"/>
      <c r="G686" s="25">
        <f>IF(B686="","",MONTH(B686))</f>
        <v/>
      </c>
    </row>
    <row r="687">
      <c r="B687" s="23" t="n"/>
      <c r="C687" s="24" t="n"/>
      <c r="D687" s="24" t="n"/>
      <c r="E687" s="25">
        <f>IF(D687="","",IF(COUNTIF(Setup!$E$8:$E$13,D687)&gt;0,"Income","Expense"))</f>
        <v/>
      </c>
      <c r="F687" s="26" t="n"/>
      <c r="G687" s="25">
        <f>IF(B687="","",MONTH(B687))</f>
        <v/>
      </c>
    </row>
    <row r="688">
      <c r="B688" s="23" t="n"/>
      <c r="C688" s="24" t="n"/>
      <c r="D688" s="24" t="n"/>
      <c r="E688" s="25">
        <f>IF(D688="","",IF(COUNTIF(Setup!$E$8:$E$13,D688)&gt;0,"Income","Expense"))</f>
        <v/>
      </c>
      <c r="F688" s="26" t="n"/>
      <c r="G688" s="25">
        <f>IF(B688="","",MONTH(B688))</f>
        <v/>
      </c>
    </row>
    <row r="689">
      <c r="B689" s="23" t="n"/>
      <c r="C689" s="24" t="n"/>
      <c r="D689" s="24" t="n"/>
      <c r="E689" s="25">
        <f>IF(D689="","",IF(COUNTIF(Setup!$E$8:$E$13,D689)&gt;0,"Income","Expense"))</f>
        <v/>
      </c>
      <c r="F689" s="26" t="n"/>
      <c r="G689" s="25">
        <f>IF(B689="","",MONTH(B689))</f>
        <v/>
      </c>
    </row>
    <row r="690">
      <c r="B690" s="23" t="n"/>
      <c r="C690" s="24" t="n"/>
      <c r="D690" s="24" t="n"/>
      <c r="E690" s="25">
        <f>IF(D690="","",IF(COUNTIF(Setup!$E$8:$E$13,D690)&gt;0,"Income","Expense"))</f>
        <v/>
      </c>
      <c r="F690" s="26" t="n"/>
      <c r="G690" s="25">
        <f>IF(B690="","",MONTH(B690))</f>
        <v/>
      </c>
    </row>
    <row r="691">
      <c r="B691" s="23" t="n"/>
      <c r="C691" s="24" t="n"/>
      <c r="D691" s="24" t="n"/>
      <c r="E691" s="25">
        <f>IF(D691="","",IF(COUNTIF(Setup!$E$8:$E$13,D691)&gt;0,"Income","Expense"))</f>
        <v/>
      </c>
      <c r="F691" s="26" t="n"/>
      <c r="G691" s="25">
        <f>IF(B691="","",MONTH(B691))</f>
        <v/>
      </c>
    </row>
    <row r="692">
      <c r="B692" s="23" t="n"/>
      <c r="C692" s="24" t="n"/>
      <c r="D692" s="24" t="n"/>
      <c r="E692" s="25">
        <f>IF(D692="","",IF(COUNTIF(Setup!$E$8:$E$13,D692)&gt;0,"Income","Expense"))</f>
        <v/>
      </c>
      <c r="F692" s="26" t="n"/>
      <c r="G692" s="25">
        <f>IF(B692="","",MONTH(B692))</f>
        <v/>
      </c>
    </row>
    <row r="693">
      <c r="B693" s="23" t="n"/>
      <c r="C693" s="24" t="n"/>
      <c r="D693" s="24" t="n"/>
      <c r="E693" s="25">
        <f>IF(D693="","",IF(COUNTIF(Setup!$E$8:$E$13,D693)&gt;0,"Income","Expense"))</f>
        <v/>
      </c>
      <c r="F693" s="26" t="n"/>
      <c r="G693" s="25">
        <f>IF(B693="","",MONTH(B693))</f>
        <v/>
      </c>
    </row>
    <row r="694">
      <c r="B694" s="23" t="n"/>
      <c r="C694" s="24" t="n"/>
      <c r="D694" s="24" t="n"/>
      <c r="E694" s="25">
        <f>IF(D694="","",IF(COUNTIF(Setup!$E$8:$E$13,D694)&gt;0,"Income","Expense"))</f>
        <v/>
      </c>
      <c r="F694" s="26" t="n"/>
      <c r="G694" s="25">
        <f>IF(B694="","",MONTH(B694))</f>
        <v/>
      </c>
    </row>
    <row r="695">
      <c r="B695" s="23" t="n"/>
      <c r="C695" s="24" t="n"/>
      <c r="D695" s="24" t="n"/>
      <c r="E695" s="25">
        <f>IF(D695="","",IF(COUNTIF(Setup!$E$8:$E$13,D695)&gt;0,"Income","Expense"))</f>
        <v/>
      </c>
      <c r="F695" s="26" t="n"/>
      <c r="G695" s="25">
        <f>IF(B695="","",MONTH(B695))</f>
        <v/>
      </c>
    </row>
    <row r="696">
      <c r="B696" s="23" t="n"/>
      <c r="C696" s="24" t="n"/>
      <c r="D696" s="24" t="n"/>
      <c r="E696" s="25">
        <f>IF(D696="","",IF(COUNTIF(Setup!$E$8:$E$13,D696)&gt;0,"Income","Expense"))</f>
        <v/>
      </c>
      <c r="F696" s="26" t="n"/>
      <c r="G696" s="25">
        <f>IF(B696="","",MONTH(B696))</f>
        <v/>
      </c>
    </row>
    <row r="697">
      <c r="B697" s="23" t="n"/>
      <c r="C697" s="24" t="n"/>
      <c r="D697" s="24" t="n"/>
      <c r="E697" s="25">
        <f>IF(D697="","",IF(COUNTIF(Setup!$E$8:$E$13,D697)&gt;0,"Income","Expense"))</f>
        <v/>
      </c>
      <c r="F697" s="26" t="n"/>
      <c r="G697" s="25">
        <f>IF(B697="","",MONTH(B697))</f>
        <v/>
      </c>
    </row>
    <row r="698">
      <c r="B698" s="23" t="n"/>
      <c r="C698" s="24" t="n"/>
      <c r="D698" s="24" t="n"/>
      <c r="E698" s="25">
        <f>IF(D698="","",IF(COUNTIF(Setup!$E$8:$E$13,D698)&gt;0,"Income","Expense"))</f>
        <v/>
      </c>
      <c r="F698" s="26" t="n"/>
      <c r="G698" s="25">
        <f>IF(B698="","",MONTH(B698))</f>
        <v/>
      </c>
    </row>
    <row r="699">
      <c r="B699" s="23" t="n"/>
      <c r="C699" s="24" t="n"/>
      <c r="D699" s="24" t="n"/>
      <c r="E699" s="25">
        <f>IF(D699="","",IF(COUNTIF(Setup!$E$8:$E$13,D699)&gt;0,"Income","Expense"))</f>
        <v/>
      </c>
      <c r="F699" s="26" t="n"/>
      <c r="G699" s="25">
        <f>IF(B699="","",MONTH(B699))</f>
        <v/>
      </c>
    </row>
    <row r="700">
      <c r="B700" s="23" t="n"/>
      <c r="C700" s="24" t="n"/>
      <c r="D700" s="24" t="n"/>
      <c r="E700" s="25">
        <f>IF(D700="","",IF(COUNTIF(Setup!$E$8:$E$13,D700)&gt;0,"Income","Expense"))</f>
        <v/>
      </c>
      <c r="F700" s="26" t="n"/>
      <c r="G700" s="25">
        <f>IF(B700="","",MONTH(B700))</f>
        <v/>
      </c>
    </row>
    <row r="701">
      <c r="B701" s="23" t="n"/>
      <c r="C701" s="24" t="n"/>
      <c r="D701" s="24" t="n"/>
      <c r="E701" s="25">
        <f>IF(D701="","",IF(COUNTIF(Setup!$E$8:$E$13,D701)&gt;0,"Income","Expense"))</f>
        <v/>
      </c>
      <c r="F701" s="26" t="n"/>
      <c r="G701" s="25">
        <f>IF(B701="","",MONTH(B701))</f>
        <v/>
      </c>
    </row>
    <row r="702">
      <c r="B702" s="23" t="n"/>
      <c r="C702" s="24" t="n"/>
      <c r="D702" s="24" t="n"/>
      <c r="E702" s="25">
        <f>IF(D702="","",IF(COUNTIF(Setup!$E$8:$E$13,D702)&gt;0,"Income","Expense"))</f>
        <v/>
      </c>
      <c r="F702" s="26" t="n"/>
      <c r="G702" s="25">
        <f>IF(B702="","",MONTH(B702))</f>
        <v/>
      </c>
    </row>
    <row r="703">
      <c r="B703" s="23" t="n"/>
      <c r="C703" s="24" t="n"/>
      <c r="D703" s="24" t="n"/>
      <c r="E703" s="25">
        <f>IF(D703="","",IF(COUNTIF(Setup!$E$8:$E$13,D703)&gt;0,"Income","Expense"))</f>
        <v/>
      </c>
      <c r="F703" s="26" t="n"/>
      <c r="G703" s="25">
        <f>IF(B703="","",MONTH(B703))</f>
        <v/>
      </c>
    </row>
    <row r="704">
      <c r="B704" s="23" t="n"/>
      <c r="C704" s="24" t="n"/>
      <c r="D704" s="24" t="n"/>
      <c r="E704" s="25">
        <f>IF(D704="","",IF(COUNTIF(Setup!$E$8:$E$13,D704)&gt;0,"Income","Expense"))</f>
        <v/>
      </c>
      <c r="F704" s="26" t="n"/>
      <c r="G704" s="25">
        <f>IF(B704="","",MONTH(B704))</f>
        <v/>
      </c>
    </row>
    <row r="705">
      <c r="B705" s="23" t="n"/>
      <c r="C705" s="24" t="n"/>
      <c r="D705" s="24" t="n"/>
      <c r="E705" s="25">
        <f>IF(D705="","",IF(COUNTIF(Setup!$E$8:$E$13,D705)&gt;0,"Income","Expense"))</f>
        <v/>
      </c>
      <c r="F705" s="26" t="n"/>
      <c r="G705" s="25">
        <f>IF(B705="","",MONTH(B705))</f>
        <v/>
      </c>
    </row>
    <row r="706">
      <c r="B706" s="23" t="n"/>
      <c r="C706" s="24" t="n"/>
      <c r="D706" s="24" t="n"/>
      <c r="E706" s="25">
        <f>IF(D706="","",IF(COUNTIF(Setup!$E$8:$E$13,D706)&gt;0,"Income","Expense"))</f>
        <v/>
      </c>
      <c r="F706" s="26" t="n"/>
      <c r="G706" s="25">
        <f>IF(B706="","",MONTH(B706))</f>
        <v/>
      </c>
    </row>
    <row r="707">
      <c r="B707" s="23" t="n"/>
      <c r="C707" s="24" t="n"/>
      <c r="D707" s="24" t="n"/>
      <c r="E707" s="25">
        <f>IF(D707="","",IF(COUNTIF(Setup!$E$8:$E$13,D707)&gt;0,"Income","Expense"))</f>
        <v/>
      </c>
      <c r="F707" s="26" t="n"/>
      <c r="G707" s="25">
        <f>IF(B707="","",MONTH(B707))</f>
        <v/>
      </c>
    </row>
    <row r="708">
      <c r="B708" s="23" t="n"/>
      <c r="C708" s="24" t="n"/>
      <c r="D708" s="24" t="n"/>
      <c r="E708" s="25">
        <f>IF(D708="","",IF(COUNTIF(Setup!$E$8:$E$13,D708)&gt;0,"Income","Expense"))</f>
        <v/>
      </c>
      <c r="F708" s="26" t="n"/>
      <c r="G708" s="25">
        <f>IF(B708="","",MONTH(B708))</f>
        <v/>
      </c>
    </row>
    <row r="709">
      <c r="B709" s="23" t="n"/>
      <c r="C709" s="24" t="n"/>
      <c r="D709" s="24" t="n"/>
      <c r="E709" s="25">
        <f>IF(D709="","",IF(COUNTIF(Setup!$E$8:$E$13,D709)&gt;0,"Income","Expense"))</f>
        <v/>
      </c>
      <c r="F709" s="26" t="n"/>
      <c r="G709" s="25">
        <f>IF(B709="","",MONTH(B709))</f>
        <v/>
      </c>
    </row>
    <row r="710">
      <c r="B710" s="23" t="n"/>
      <c r="C710" s="24" t="n"/>
      <c r="D710" s="24" t="n"/>
      <c r="E710" s="25">
        <f>IF(D710="","",IF(COUNTIF(Setup!$E$8:$E$13,D710)&gt;0,"Income","Expense"))</f>
        <v/>
      </c>
      <c r="F710" s="26" t="n"/>
      <c r="G710" s="25">
        <f>IF(B710="","",MONTH(B710))</f>
        <v/>
      </c>
    </row>
    <row r="711">
      <c r="B711" s="23" t="n"/>
      <c r="C711" s="24" t="n"/>
      <c r="D711" s="24" t="n"/>
      <c r="E711" s="25">
        <f>IF(D711="","",IF(COUNTIF(Setup!$E$8:$E$13,D711)&gt;0,"Income","Expense"))</f>
        <v/>
      </c>
      <c r="F711" s="26" t="n"/>
      <c r="G711" s="25">
        <f>IF(B711="","",MONTH(B711))</f>
        <v/>
      </c>
    </row>
    <row r="712">
      <c r="B712" s="23" t="n"/>
      <c r="C712" s="24" t="n"/>
      <c r="D712" s="24" t="n"/>
      <c r="E712" s="25">
        <f>IF(D712="","",IF(COUNTIF(Setup!$E$8:$E$13,D712)&gt;0,"Income","Expense"))</f>
        <v/>
      </c>
      <c r="F712" s="26" t="n"/>
      <c r="G712" s="25">
        <f>IF(B712="","",MONTH(B712))</f>
        <v/>
      </c>
    </row>
    <row r="713">
      <c r="B713" s="23" t="n"/>
      <c r="C713" s="24" t="n"/>
      <c r="D713" s="24" t="n"/>
      <c r="E713" s="25">
        <f>IF(D713="","",IF(COUNTIF(Setup!$E$8:$E$13,D713)&gt;0,"Income","Expense"))</f>
        <v/>
      </c>
      <c r="F713" s="26" t="n"/>
      <c r="G713" s="25">
        <f>IF(B713="","",MONTH(B713))</f>
        <v/>
      </c>
    </row>
    <row r="714">
      <c r="B714" s="23" t="n"/>
      <c r="C714" s="24" t="n"/>
      <c r="D714" s="24" t="n"/>
      <c r="E714" s="25">
        <f>IF(D714="","",IF(COUNTIF(Setup!$E$8:$E$13,D714)&gt;0,"Income","Expense"))</f>
        <v/>
      </c>
      <c r="F714" s="26" t="n"/>
      <c r="G714" s="25">
        <f>IF(B714="","",MONTH(B714))</f>
        <v/>
      </c>
    </row>
    <row r="715">
      <c r="B715" s="23" t="n"/>
      <c r="C715" s="24" t="n"/>
      <c r="D715" s="24" t="n"/>
      <c r="E715" s="25">
        <f>IF(D715="","",IF(COUNTIF(Setup!$E$8:$E$13,D715)&gt;0,"Income","Expense"))</f>
        <v/>
      </c>
      <c r="F715" s="26" t="n"/>
      <c r="G715" s="25">
        <f>IF(B715="","",MONTH(B715))</f>
        <v/>
      </c>
    </row>
    <row r="716">
      <c r="B716" s="23" t="n"/>
      <c r="C716" s="24" t="n"/>
      <c r="D716" s="24" t="n"/>
      <c r="E716" s="25">
        <f>IF(D716="","",IF(COUNTIF(Setup!$E$8:$E$13,D716)&gt;0,"Income","Expense"))</f>
        <v/>
      </c>
      <c r="F716" s="26" t="n"/>
      <c r="G716" s="25">
        <f>IF(B716="","",MONTH(B716))</f>
        <v/>
      </c>
    </row>
    <row r="717">
      <c r="B717" s="23" t="n"/>
      <c r="C717" s="24" t="n"/>
      <c r="D717" s="24" t="n"/>
      <c r="E717" s="25">
        <f>IF(D717="","",IF(COUNTIF(Setup!$E$8:$E$13,D717)&gt;0,"Income","Expense"))</f>
        <v/>
      </c>
      <c r="F717" s="26" t="n"/>
      <c r="G717" s="25">
        <f>IF(B717="","",MONTH(B717))</f>
        <v/>
      </c>
    </row>
    <row r="718">
      <c r="B718" s="23" t="n"/>
      <c r="C718" s="24" t="n"/>
      <c r="D718" s="24" t="n"/>
      <c r="E718" s="25">
        <f>IF(D718="","",IF(COUNTIF(Setup!$E$8:$E$13,D718)&gt;0,"Income","Expense"))</f>
        <v/>
      </c>
      <c r="F718" s="26" t="n"/>
      <c r="G718" s="25">
        <f>IF(B718="","",MONTH(B718))</f>
        <v/>
      </c>
    </row>
    <row r="719">
      <c r="B719" s="23" t="n"/>
      <c r="C719" s="24" t="n"/>
      <c r="D719" s="24" t="n"/>
      <c r="E719" s="25">
        <f>IF(D719="","",IF(COUNTIF(Setup!$E$8:$E$13,D719)&gt;0,"Income","Expense"))</f>
        <v/>
      </c>
      <c r="F719" s="26" t="n"/>
      <c r="G719" s="25">
        <f>IF(B719="","",MONTH(B719))</f>
        <v/>
      </c>
    </row>
    <row r="720">
      <c r="B720" s="23" t="n"/>
      <c r="C720" s="24" t="n"/>
      <c r="D720" s="24" t="n"/>
      <c r="E720" s="25">
        <f>IF(D720="","",IF(COUNTIF(Setup!$E$8:$E$13,D720)&gt;0,"Income","Expense"))</f>
        <v/>
      </c>
      <c r="F720" s="26" t="n"/>
      <c r="G720" s="25">
        <f>IF(B720="","",MONTH(B720))</f>
        <v/>
      </c>
    </row>
    <row r="721">
      <c r="B721" s="23" t="n"/>
      <c r="C721" s="24" t="n"/>
      <c r="D721" s="24" t="n"/>
      <c r="E721" s="25">
        <f>IF(D721="","",IF(COUNTIF(Setup!$E$8:$E$13,D721)&gt;0,"Income","Expense"))</f>
        <v/>
      </c>
      <c r="F721" s="26" t="n"/>
      <c r="G721" s="25">
        <f>IF(B721="","",MONTH(B721))</f>
        <v/>
      </c>
    </row>
    <row r="722">
      <c r="B722" s="23" t="n"/>
      <c r="C722" s="24" t="n"/>
      <c r="D722" s="24" t="n"/>
      <c r="E722" s="25">
        <f>IF(D722="","",IF(COUNTIF(Setup!$E$8:$E$13,D722)&gt;0,"Income","Expense"))</f>
        <v/>
      </c>
      <c r="F722" s="26" t="n"/>
      <c r="G722" s="25">
        <f>IF(B722="","",MONTH(B722))</f>
        <v/>
      </c>
    </row>
    <row r="723">
      <c r="B723" s="23" t="n"/>
      <c r="C723" s="24" t="n"/>
      <c r="D723" s="24" t="n"/>
      <c r="E723" s="25">
        <f>IF(D723="","",IF(COUNTIF(Setup!$E$8:$E$13,D723)&gt;0,"Income","Expense"))</f>
        <v/>
      </c>
      <c r="F723" s="26" t="n"/>
      <c r="G723" s="25">
        <f>IF(B723="","",MONTH(B723))</f>
        <v/>
      </c>
    </row>
    <row r="724">
      <c r="B724" s="23" t="n"/>
      <c r="C724" s="24" t="n"/>
      <c r="D724" s="24" t="n"/>
      <c r="E724" s="25">
        <f>IF(D724="","",IF(COUNTIF(Setup!$E$8:$E$13,D724)&gt;0,"Income","Expense"))</f>
        <v/>
      </c>
      <c r="F724" s="26" t="n"/>
      <c r="G724" s="25">
        <f>IF(B724="","",MONTH(B724))</f>
        <v/>
      </c>
    </row>
    <row r="725">
      <c r="B725" s="23" t="n"/>
      <c r="C725" s="24" t="n"/>
      <c r="D725" s="24" t="n"/>
      <c r="E725" s="25">
        <f>IF(D725="","",IF(COUNTIF(Setup!$E$8:$E$13,D725)&gt;0,"Income","Expense"))</f>
        <v/>
      </c>
      <c r="F725" s="26" t="n"/>
      <c r="G725" s="25">
        <f>IF(B725="","",MONTH(B725))</f>
        <v/>
      </c>
    </row>
    <row r="726">
      <c r="B726" s="23" t="n"/>
      <c r="C726" s="24" t="n"/>
      <c r="D726" s="24" t="n"/>
      <c r="E726" s="25">
        <f>IF(D726="","",IF(COUNTIF(Setup!$E$8:$E$13,D726)&gt;0,"Income","Expense"))</f>
        <v/>
      </c>
      <c r="F726" s="26" t="n"/>
      <c r="G726" s="25">
        <f>IF(B726="","",MONTH(B726))</f>
        <v/>
      </c>
    </row>
    <row r="727">
      <c r="B727" s="23" t="n"/>
      <c r="C727" s="24" t="n"/>
      <c r="D727" s="24" t="n"/>
      <c r="E727" s="25">
        <f>IF(D727="","",IF(COUNTIF(Setup!$E$8:$E$13,D727)&gt;0,"Income","Expense"))</f>
        <v/>
      </c>
      <c r="F727" s="26" t="n"/>
      <c r="G727" s="25">
        <f>IF(B727="","",MONTH(B727))</f>
        <v/>
      </c>
    </row>
    <row r="728">
      <c r="B728" s="23" t="n"/>
      <c r="C728" s="24" t="n"/>
      <c r="D728" s="24" t="n"/>
      <c r="E728" s="25">
        <f>IF(D728="","",IF(COUNTIF(Setup!$E$8:$E$13,D728)&gt;0,"Income","Expense"))</f>
        <v/>
      </c>
      <c r="F728" s="26" t="n"/>
      <c r="G728" s="25">
        <f>IF(B728="","",MONTH(B728))</f>
        <v/>
      </c>
    </row>
    <row r="729">
      <c r="B729" s="23" t="n"/>
      <c r="C729" s="24" t="n"/>
      <c r="D729" s="24" t="n"/>
      <c r="E729" s="25">
        <f>IF(D729="","",IF(COUNTIF(Setup!$E$8:$E$13,D729)&gt;0,"Income","Expense"))</f>
        <v/>
      </c>
      <c r="F729" s="26" t="n"/>
      <c r="G729" s="25">
        <f>IF(B729="","",MONTH(B729))</f>
        <v/>
      </c>
    </row>
    <row r="730">
      <c r="B730" s="23" t="n"/>
      <c r="C730" s="24" t="n"/>
      <c r="D730" s="24" t="n"/>
      <c r="E730" s="25">
        <f>IF(D730="","",IF(COUNTIF(Setup!$E$8:$E$13,D730)&gt;0,"Income","Expense"))</f>
        <v/>
      </c>
      <c r="F730" s="26" t="n"/>
      <c r="G730" s="25">
        <f>IF(B730="","",MONTH(B730))</f>
        <v/>
      </c>
    </row>
    <row r="731">
      <c r="B731" s="23" t="n"/>
      <c r="C731" s="24" t="n"/>
      <c r="D731" s="24" t="n"/>
      <c r="E731" s="25">
        <f>IF(D731="","",IF(COUNTIF(Setup!$E$8:$E$13,D731)&gt;0,"Income","Expense"))</f>
        <v/>
      </c>
      <c r="F731" s="26" t="n"/>
      <c r="G731" s="25">
        <f>IF(B731="","",MONTH(B731))</f>
        <v/>
      </c>
    </row>
    <row r="732">
      <c r="B732" s="23" t="n"/>
      <c r="C732" s="24" t="n"/>
      <c r="D732" s="24" t="n"/>
      <c r="E732" s="25">
        <f>IF(D732="","",IF(COUNTIF(Setup!$E$8:$E$13,D732)&gt;0,"Income","Expense"))</f>
        <v/>
      </c>
      <c r="F732" s="26" t="n"/>
      <c r="G732" s="25">
        <f>IF(B732="","",MONTH(B732))</f>
        <v/>
      </c>
    </row>
    <row r="733">
      <c r="B733" s="23" t="n"/>
      <c r="C733" s="24" t="n"/>
      <c r="D733" s="24" t="n"/>
      <c r="E733" s="25">
        <f>IF(D733="","",IF(COUNTIF(Setup!$E$8:$E$13,D733)&gt;0,"Income","Expense"))</f>
        <v/>
      </c>
      <c r="F733" s="26" t="n"/>
      <c r="G733" s="25">
        <f>IF(B733="","",MONTH(B733))</f>
        <v/>
      </c>
    </row>
    <row r="734">
      <c r="B734" s="23" t="n"/>
      <c r="C734" s="24" t="n"/>
      <c r="D734" s="24" t="n"/>
      <c r="E734" s="25">
        <f>IF(D734="","",IF(COUNTIF(Setup!$E$8:$E$13,D734)&gt;0,"Income","Expense"))</f>
        <v/>
      </c>
      <c r="F734" s="26" t="n"/>
      <c r="G734" s="25">
        <f>IF(B734="","",MONTH(B734))</f>
        <v/>
      </c>
    </row>
    <row r="735">
      <c r="B735" s="23" t="n"/>
      <c r="C735" s="24" t="n"/>
      <c r="D735" s="24" t="n"/>
      <c r="E735" s="25">
        <f>IF(D735="","",IF(COUNTIF(Setup!$E$8:$E$13,D735)&gt;0,"Income","Expense"))</f>
        <v/>
      </c>
      <c r="F735" s="26" t="n"/>
      <c r="G735" s="25">
        <f>IF(B735="","",MONTH(B735))</f>
        <v/>
      </c>
    </row>
    <row r="736">
      <c r="B736" s="23" t="n"/>
      <c r="C736" s="24" t="n"/>
      <c r="D736" s="24" t="n"/>
      <c r="E736" s="25">
        <f>IF(D736="","",IF(COUNTIF(Setup!$E$8:$E$13,D736)&gt;0,"Income","Expense"))</f>
        <v/>
      </c>
      <c r="F736" s="26" t="n"/>
      <c r="G736" s="25">
        <f>IF(B736="","",MONTH(B736))</f>
        <v/>
      </c>
    </row>
    <row r="737">
      <c r="B737" s="23" t="n"/>
      <c r="C737" s="24" t="n"/>
      <c r="D737" s="24" t="n"/>
      <c r="E737" s="25">
        <f>IF(D737="","",IF(COUNTIF(Setup!$E$8:$E$13,D737)&gt;0,"Income","Expense"))</f>
        <v/>
      </c>
      <c r="F737" s="26" t="n"/>
      <c r="G737" s="25">
        <f>IF(B737="","",MONTH(B737))</f>
        <v/>
      </c>
    </row>
    <row r="738">
      <c r="B738" s="23" t="n"/>
      <c r="C738" s="24" t="n"/>
      <c r="D738" s="24" t="n"/>
      <c r="E738" s="25">
        <f>IF(D738="","",IF(COUNTIF(Setup!$E$8:$E$13,D738)&gt;0,"Income","Expense"))</f>
        <v/>
      </c>
      <c r="F738" s="26" t="n"/>
      <c r="G738" s="25">
        <f>IF(B738="","",MONTH(B738))</f>
        <v/>
      </c>
    </row>
    <row r="739">
      <c r="B739" s="23" t="n"/>
      <c r="C739" s="24" t="n"/>
      <c r="D739" s="24" t="n"/>
      <c r="E739" s="25">
        <f>IF(D739="","",IF(COUNTIF(Setup!$E$8:$E$13,D739)&gt;0,"Income","Expense"))</f>
        <v/>
      </c>
      <c r="F739" s="26" t="n"/>
      <c r="G739" s="25">
        <f>IF(B739="","",MONTH(B739))</f>
        <v/>
      </c>
    </row>
    <row r="740">
      <c r="B740" s="23" t="n"/>
      <c r="C740" s="24" t="n"/>
      <c r="D740" s="24" t="n"/>
      <c r="E740" s="25">
        <f>IF(D740="","",IF(COUNTIF(Setup!$E$8:$E$13,D740)&gt;0,"Income","Expense"))</f>
        <v/>
      </c>
      <c r="F740" s="26" t="n"/>
      <c r="G740" s="25">
        <f>IF(B740="","",MONTH(B740))</f>
        <v/>
      </c>
    </row>
    <row r="741">
      <c r="B741" s="23" t="n"/>
      <c r="C741" s="24" t="n"/>
      <c r="D741" s="24" t="n"/>
      <c r="E741" s="25">
        <f>IF(D741="","",IF(COUNTIF(Setup!$E$8:$E$13,D741)&gt;0,"Income","Expense"))</f>
        <v/>
      </c>
      <c r="F741" s="26" t="n"/>
      <c r="G741" s="25">
        <f>IF(B741="","",MONTH(B741))</f>
        <v/>
      </c>
    </row>
    <row r="742">
      <c r="B742" s="23" t="n"/>
      <c r="C742" s="24" t="n"/>
      <c r="D742" s="24" t="n"/>
      <c r="E742" s="25">
        <f>IF(D742="","",IF(COUNTIF(Setup!$E$8:$E$13,D742)&gt;0,"Income","Expense"))</f>
        <v/>
      </c>
      <c r="F742" s="26" t="n"/>
      <c r="G742" s="25">
        <f>IF(B742="","",MONTH(B742))</f>
        <v/>
      </c>
    </row>
    <row r="743">
      <c r="B743" s="23" t="n"/>
      <c r="C743" s="24" t="n"/>
      <c r="D743" s="24" t="n"/>
      <c r="E743" s="25">
        <f>IF(D743="","",IF(COUNTIF(Setup!$E$8:$E$13,D743)&gt;0,"Income","Expense"))</f>
        <v/>
      </c>
      <c r="F743" s="26" t="n"/>
      <c r="G743" s="25">
        <f>IF(B743="","",MONTH(B743))</f>
        <v/>
      </c>
    </row>
    <row r="744">
      <c r="B744" s="23" t="n"/>
      <c r="C744" s="24" t="n"/>
      <c r="D744" s="24" t="n"/>
      <c r="E744" s="25">
        <f>IF(D744="","",IF(COUNTIF(Setup!$E$8:$E$13,D744)&gt;0,"Income","Expense"))</f>
        <v/>
      </c>
      <c r="F744" s="26" t="n"/>
      <c r="G744" s="25">
        <f>IF(B744="","",MONTH(B744))</f>
        <v/>
      </c>
    </row>
    <row r="745">
      <c r="B745" s="23" t="n"/>
      <c r="C745" s="24" t="n"/>
      <c r="D745" s="24" t="n"/>
      <c r="E745" s="25">
        <f>IF(D745="","",IF(COUNTIF(Setup!$E$8:$E$13,D745)&gt;0,"Income","Expense"))</f>
        <v/>
      </c>
      <c r="F745" s="26" t="n"/>
      <c r="G745" s="25">
        <f>IF(B745="","",MONTH(B745))</f>
        <v/>
      </c>
    </row>
    <row r="746">
      <c r="B746" s="23" t="n"/>
      <c r="C746" s="24" t="n"/>
      <c r="D746" s="24" t="n"/>
      <c r="E746" s="25">
        <f>IF(D746="","",IF(COUNTIF(Setup!$E$8:$E$13,D746)&gt;0,"Income","Expense"))</f>
        <v/>
      </c>
      <c r="F746" s="26" t="n"/>
      <c r="G746" s="25">
        <f>IF(B746="","",MONTH(B746))</f>
        <v/>
      </c>
    </row>
    <row r="747">
      <c r="B747" s="23" t="n"/>
      <c r="C747" s="24" t="n"/>
      <c r="D747" s="24" t="n"/>
      <c r="E747" s="25">
        <f>IF(D747="","",IF(COUNTIF(Setup!$E$8:$E$13,D747)&gt;0,"Income","Expense"))</f>
        <v/>
      </c>
      <c r="F747" s="26" t="n"/>
      <c r="G747" s="25">
        <f>IF(B747="","",MONTH(B747))</f>
        <v/>
      </c>
    </row>
    <row r="748">
      <c r="B748" s="23" t="n"/>
      <c r="C748" s="24" t="n"/>
      <c r="D748" s="24" t="n"/>
      <c r="E748" s="25">
        <f>IF(D748="","",IF(COUNTIF(Setup!$E$8:$E$13,D748)&gt;0,"Income","Expense"))</f>
        <v/>
      </c>
      <c r="F748" s="26" t="n"/>
      <c r="G748" s="25">
        <f>IF(B748="","",MONTH(B748))</f>
        <v/>
      </c>
    </row>
    <row r="749">
      <c r="B749" s="23" t="n"/>
      <c r="C749" s="24" t="n"/>
      <c r="D749" s="24" t="n"/>
      <c r="E749" s="25">
        <f>IF(D749="","",IF(COUNTIF(Setup!$E$8:$E$13,D749)&gt;0,"Income","Expense"))</f>
        <v/>
      </c>
      <c r="F749" s="26" t="n"/>
      <c r="G749" s="25">
        <f>IF(B749="","",MONTH(B749))</f>
        <v/>
      </c>
    </row>
    <row r="750">
      <c r="B750" s="23" t="n"/>
      <c r="C750" s="24" t="n"/>
      <c r="D750" s="24" t="n"/>
      <c r="E750" s="25">
        <f>IF(D750="","",IF(COUNTIF(Setup!$E$8:$E$13,D750)&gt;0,"Income","Expense"))</f>
        <v/>
      </c>
      <c r="F750" s="26" t="n"/>
      <c r="G750" s="25">
        <f>IF(B750="","",MONTH(B750))</f>
        <v/>
      </c>
    </row>
    <row r="751">
      <c r="B751" s="23" t="n"/>
      <c r="C751" s="24" t="n"/>
      <c r="D751" s="24" t="n"/>
      <c r="E751" s="25">
        <f>IF(D751="","",IF(COUNTIF(Setup!$E$8:$E$13,D751)&gt;0,"Income","Expense"))</f>
        <v/>
      </c>
      <c r="F751" s="26" t="n"/>
      <c r="G751" s="25">
        <f>IF(B751="","",MONTH(B751))</f>
        <v/>
      </c>
    </row>
    <row r="752">
      <c r="B752" s="23" t="n"/>
      <c r="C752" s="24" t="n"/>
      <c r="D752" s="24" t="n"/>
      <c r="E752" s="25">
        <f>IF(D752="","",IF(COUNTIF(Setup!$E$8:$E$13,D752)&gt;0,"Income","Expense"))</f>
        <v/>
      </c>
      <c r="F752" s="26" t="n"/>
      <c r="G752" s="25">
        <f>IF(B752="","",MONTH(B752))</f>
        <v/>
      </c>
    </row>
    <row r="753">
      <c r="B753" s="23" t="n"/>
      <c r="C753" s="24" t="n"/>
      <c r="D753" s="24" t="n"/>
      <c r="E753" s="25">
        <f>IF(D753="","",IF(COUNTIF(Setup!$E$8:$E$13,D753)&gt;0,"Income","Expense"))</f>
        <v/>
      </c>
      <c r="F753" s="26" t="n"/>
      <c r="G753" s="25">
        <f>IF(B753="","",MONTH(B753))</f>
        <v/>
      </c>
    </row>
    <row r="754">
      <c r="B754" s="23" t="n"/>
      <c r="C754" s="24" t="n"/>
      <c r="D754" s="24" t="n"/>
      <c r="E754" s="25">
        <f>IF(D754="","",IF(COUNTIF(Setup!$E$8:$E$13,D754)&gt;0,"Income","Expense"))</f>
        <v/>
      </c>
      <c r="F754" s="26" t="n"/>
      <c r="G754" s="25">
        <f>IF(B754="","",MONTH(B754))</f>
        <v/>
      </c>
    </row>
    <row r="755">
      <c r="B755" s="23" t="n"/>
      <c r="C755" s="24" t="n"/>
      <c r="D755" s="24" t="n"/>
      <c r="E755" s="25">
        <f>IF(D755="","",IF(COUNTIF(Setup!$E$8:$E$13,D755)&gt;0,"Income","Expense"))</f>
        <v/>
      </c>
      <c r="F755" s="26" t="n"/>
      <c r="G755" s="25">
        <f>IF(B755="","",MONTH(B755))</f>
        <v/>
      </c>
    </row>
    <row r="756">
      <c r="B756" s="23" t="n"/>
      <c r="C756" s="24" t="n"/>
      <c r="D756" s="24" t="n"/>
      <c r="E756" s="25">
        <f>IF(D756="","",IF(COUNTIF(Setup!$E$8:$E$13,D756)&gt;0,"Income","Expense"))</f>
        <v/>
      </c>
      <c r="F756" s="26" t="n"/>
      <c r="G756" s="25">
        <f>IF(B756="","",MONTH(B756))</f>
        <v/>
      </c>
    </row>
    <row r="757">
      <c r="B757" s="23" t="n"/>
      <c r="C757" s="24" t="n"/>
      <c r="D757" s="24" t="n"/>
      <c r="E757" s="25">
        <f>IF(D757="","",IF(COUNTIF(Setup!$E$8:$E$13,D757)&gt;0,"Income","Expense"))</f>
        <v/>
      </c>
      <c r="F757" s="26" t="n"/>
      <c r="G757" s="25">
        <f>IF(B757="","",MONTH(B757))</f>
        <v/>
      </c>
    </row>
    <row r="758">
      <c r="B758" s="23" t="n"/>
      <c r="C758" s="24" t="n"/>
      <c r="D758" s="24" t="n"/>
      <c r="E758" s="25">
        <f>IF(D758="","",IF(COUNTIF(Setup!$E$8:$E$13,D758)&gt;0,"Income","Expense"))</f>
        <v/>
      </c>
      <c r="F758" s="26" t="n"/>
      <c r="G758" s="25">
        <f>IF(B758="","",MONTH(B758))</f>
        <v/>
      </c>
    </row>
    <row r="759">
      <c r="B759" s="23" t="n"/>
      <c r="C759" s="24" t="n"/>
      <c r="D759" s="24" t="n"/>
      <c r="E759" s="25">
        <f>IF(D759="","",IF(COUNTIF(Setup!$E$8:$E$13,D759)&gt;0,"Income","Expense"))</f>
        <v/>
      </c>
      <c r="F759" s="26" t="n"/>
      <c r="G759" s="25">
        <f>IF(B759="","",MONTH(B759))</f>
        <v/>
      </c>
    </row>
    <row r="760">
      <c r="B760" s="23" t="n"/>
      <c r="C760" s="24" t="n"/>
      <c r="D760" s="24" t="n"/>
      <c r="E760" s="25">
        <f>IF(D760="","",IF(COUNTIF(Setup!$E$8:$E$13,D760)&gt;0,"Income","Expense"))</f>
        <v/>
      </c>
      <c r="F760" s="26" t="n"/>
      <c r="G760" s="25">
        <f>IF(B760="","",MONTH(B760))</f>
        <v/>
      </c>
    </row>
    <row r="761">
      <c r="B761" s="23" t="n"/>
      <c r="C761" s="24" t="n"/>
      <c r="D761" s="24" t="n"/>
      <c r="E761" s="25">
        <f>IF(D761="","",IF(COUNTIF(Setup!$E$8:$E$13,D761)&gt;0,"Income","Expense"))</f>
        <v/>
      </c>
      <c r="F761" s="26" t="n"/>
      <c r="G761" s="25">
        <f>IF(B761="","",MONTH(B761))</f>
        <v/>
      </c>
    </row>
    <row r="762">
      <c r="B762" s="23" t="n"/>
      <c r="C762" s="24" t="n"/>
      <c r="D762" s="24" t="n"/>
      <c r="E762" s="25">
        <f>IF(D762="","",IF(COUNTIF(Setup!$E$8:$E$13,D762)&gt;0,"Income","Expense"))</f>
        <v/>
      </c>
      <c r="F762" s="26" t="n"/>
      <c r="G762" s="25">
        <f>IF(B762="","",MONTH(B762))</f>
        <v/>
      </c>
    </row>
    <row r="763">
      <c r="B763" s="23" t="n"/>
      <c r="C763" s="24" t="n"/>
      <c r="D763" s="24" t="n"/>
      <c r="E763" s="25">
        <f>IF(D763="","",IF(COUNTIF(Setup!$E$8:$E$13,D763)&gt;0,"Income","Expense"))</f>
        <v/>
      </c>
      <c r="F763" s="26" t="n"/>
      <c r="G763" s="25">
        <f>IF(B763="","",MONTH(B763))</f>
        <v/>
      </c>
    </row>
    <row r="764">
      <c r="B764" s="23" t="n"/>
      <c r="C764" s="24" t="n"/>
      <c r="D764" s="24" t="n"/>
      <c r="E764" s="25">
        <f>IF(D764="","",IF(COUNTIF(Setup!$E$8:$E$13,D764)&gt;0,"Income","Expense"))</f>
        <v/>
      </c>
      <c r="F764" s="26" t="n"/>
      <c r="G764" s="25">
        <f>IF(B764="","",MONTH(B764))</f>
        <v/>
      </c>
    </row>
    <row r="765">
      <c r="B765" s="23" t="n"/>
      <c r="C765" s="24" t="n"/>
      <c r="D765" s="24" t="n"/>
      <c r="E765" s="25">
        <f>IF(D765="","",IF(COUNTIF(Setup!$E$8:$E$13,D765)&gt;0,"Income","Expense"))</f>
        <v/>
      </c>
      <c r="F765" s="26" t="n"/>
      <c r="G765" s="25">
        <f>IF(B765="","",MONTH(B765))</f>
        <v/>
      </c>
    </row>
    <row r="766">
      <c r="B766" s="23" t="n"/>
      <c r="C766" s="24" t="n"/>
      <c r="D766" s="24" t="n"/>
      <c r="E766" s="25">
        <f>IF(D766="","",IF(COUNTIF(Setup!$E$8:$E$13,D766)&gt;0,"Income","Expense"))</f>
        <v/>
      </c>
      <c r="F766" s="26" t="n"/>
      <c r="G766" s="25">
        <f>IF(B766="","",MONTH(B766))</f>
        <v/>
      </c>
    </row>
    <row r="767">
      <c r="B767" s="23" t="n"/>
      <c r="C767" s="24" t="n"/>
      <c r="D767" s="24" t="n"/>
      <c r="E767" s="25">
        <f>IF(D767="","",IF(COUNTIF(Setup!$E$8:$E$13,D767)&gt;0,"Income","Expense"))</f>
        <v/>
      </c>
      <c r="F767" s="26" t="n"/>
      <c r="G767" s="25">
        <f>IF(B767="","",MONTH(B767))</f>
        <v/>
      </c>
    </row>
    <row r="768">
      <c r="B768" s="23" t="n"/>
      <c r="C768" s="24" t="n"/>
      <c r="D768" s="24" t="n"/>
      <c r="E768" s="25">
        <f>IF(D768="","",IF(COUNTIF(Setup!$E$8:$E$13,D768)&gt;0,"Income","Expense"))</f>
        <v/>
      </c>
      <c r="F768" s="26" t="n"/>
      <c r="G768" s="25">
        <f>IF(B768="","",MONTH(B768))</f>
        <v/>
      </c>
    </row>
    <row r="769">
      <c r="B769" s="23" t="n"/>
      <c r="C769" s="24" t="n"/>
      <c r="D769" s="24" t="n"/>
      <c r="E769" s="25">
        <f>IF(D769="","",IF(COUNTIF(Setup!$E$8:$E$13,D769)&gt;0,"Income","Expense"))</f>
        <v/>
      </c>
      <c r="F769" s="26" t="n"/>
      <c r="G769" s="25">
        <f>IF(B769="","",MONTH(B769))</f>
        <v/>
      </c>
    </row>
    <row r="770">
      <c r="B770" s="23" t="n"/>
      <c r="C770" s="24" t="n"/>
      <c r="D770" s="24" t="n"/>
      <c r="E770" s="25">
        <f>IF(D770="","",IF(COUNTIF(Setup!$E$8:$E$13,D770)&gt;0,"Income","Expense"))</f>
        <v/>
      </c>
      <c r="F770" s="26" t="n"/>
      <c r="G770" s="25">
        <f>IF(B770="","",MONTH(B770))</f>
        <v/>
      </c>
    </row>
    <row r="771">
      <c r="B771" s="23" t="n"/>
      <c r="C771" s="24" t="n"/>
      <c r="D771" s="24" t="n"/>
      <c r="E771" s="25">
        <f>IF(D771="","",IF(COUNTIF(Setup!$E$8:$E$13,D771)&gt;0,"Income","Expense"))</f>
        <v/>
      </c>
      <c r="F771" s="26" t="n"/>
      <c r="G771" s="25">
        <f>IF(B771="","",MONTH(B771))</f>
        <v/>
      </c>
    </row>
    <row r="772">
      <c r="B772" s="23" t="n"/>
      <c r="C772" s="24" t="n"/>
      <c r="D772" s="24" t="n"/>
      <c r="E772" s="25">
        <f>IF(D772="","",IF(COUNTIF(Setup!$E$8:$E$13,D772)&gt;0,"Income","Expense"))</f>
        <v/>
      </c>
      <c r="F772" s="26" t="n"/>
      <c r="G772" s="25">
        <f>IF(B772="","",MONTH(B772))</f>
        <v/>
      </c>
    </row>
    <row r="773">
      <c r="B773" s="23" t="n"/>
      <c r="C773" s="24" t="n"/>
      <c r="D773" s="24" t="n"/>
      <c r="E773" s="25">
        <f>IF(D773="","",IF(COUNTIF(Setup!$E$8:$E$13,D773)&gt;0,"Income","Expense"))</f>
        <v/>
      </c>
      <c r="F773" s="26" t="n"/>
      <c r="G773" s="25">
        <f>IF(B773="","",MONTH(B773))</f>
        <v/>
      </c>
    </row>
    <row r="774">
      <c r="B774" s="23" t="n"/>
      <c r="C774" s="24" t="n"/>
      <c r="D774" s="24" t="n"/>
      <c r="E774" s="25">
        <f>IF(D774="","",IF(COUNTIF(Setup!$E$8:$E$13,D774)&gt;0,"Income","Expense"))</f>
        <v/>
      </c>
      <c r="F774" s="26" t="n"/>
      <c r="G774" s="25">
        <f>IF(B774="","",MONTH(B774))</f>
        <v/>
      </c>
    </row>
    <row r="775">
      <c r="B775" s="23" t="n"/>
      <c r="C775" s="24" t="n"/>
      <c r="D775" s="24" t="n"/>
      <c r="E775" s="25">
        <f>IF(D775="","",IF(COUNTIF(Setup!$E$8:$E$13,D775)&gt;0,"Income","Expense"))</f>
        <v/>
      </c>
      <c r="F775" s="26" t="n"/>
      <c r="G775" s="25">
        <f>IF(B775="","",MONTH(B775))</f>
        <v/>
      </c>
    </row>
    <row r="776">
      <c r="B776" s="23" t="n"/>
      <c r="C776" s="24" t="n"/>
      <c r="D776" s="24" t="n"/>
      <c r="E776" s="25">
        <f>IF(D776="","",IF(COUNTIF(Setup!$E$8:$E$13,D776)&gt;0,"Income","Expense"))</f>
        <v/>
      </c>
      <c r="F776" s="26" t="n"/>
      <c r="G776" s="25">
        <f>IF(B776="","",MONTH(B776))</f>
        <v/>
      </c>
    </row>
    <row r="777">
      <c r="B777" s="23" t="n"/>
      <c r="C777" s="24" t="n"/>
      <c r="D777" s="24" t="n"/>
      <c r="E777" s="25">
        <f>IF(D777="","",IF(COUNTIF(Setup!$E$8:$E$13,D777)&gt;0,"Income","Expense"))</f>
        <v/>
      </c>
      <c r="F777" s="26" t="n"/>
      <c r="G777" s="25">
        <f>IF(B777="","",MONTH(B777))</f>
        <v/>
      </c>
    </row>
    <row r="778">
      <c r="B778" s="23" t="n"/>
      <c r="C778" s="24" t="n"/>
      <c r="D778" s="24" t="n"/>
      <c r="E778" s="25">
        <f>IF(D778="","",IF(COUNTIF(Setup!$E$8:$E$13,D778)&gt;0,"Income","Expense"))</f>
        <v/>
      </c>
      <c r="F778" s="26" t="n"/>
      <c r="G778" s="25">
        <f>IF(B778="","",MONTH(B778))</f>
        <v/>
      </c>
    </row>
    <row r="779">
      <c r="B779" s="23" t="n"/>
      <c r="C779" s="24" t="n"/>
      <c r="D779" s="24" t="n"/>
      <c r="E779" s="25">
        <f>IF(D779="","",IF(COUNTIF(Setup!$E$8:$E$13,D779)&gt;0,"Income","Expense"))</f>
        <v/>
      </c>
      <c r="F779" s="26" t="n"/>
      <c r="G779" s="25">
        <f>IF(B779="","",MONTH(B779))</f>
        <v/>
      </c>
    </row>
    <row r="780">
      <c r="B780" s="23" t="n"/>
      <c r="C780" s="24" t="n"/>
      <c r="D780" s="24" t="n"/>
      <c r="E780" s="25">
        <f>IF(D780="","",IF(COUNTIF(Setup!$E$8:$E$13,D780)&gt;0,"Income","Expense"))</f>
        <v/>
      </c>
      <c r="F780" s="26" t="n"/>
      <c r="G780" s="25">
        <f>IF(B780="","",MONTH(B780))</f>
        <v/>
      </c>
    </row>
    <row r="781">
      <c r="B781" s="23" t="n"/>
      <c r="C781" s="24" t="n"/>
      <c r="D781" s="24" t="n"/>
      <c r="E781" s="25">
        <f>IF(D781="","",IF(COUNTIF(Setup!$E$8:$E$13,D781)&gt;0,"Income","Expense"))</f>
        <v/>
      </c>
      <c r="F781" s="26" t="n"/>
      <c r="G781" s="25">
        <f>IF(B781="","",MONTH(B781))</f>
        <v/>
      </c>
    </row>
    <row r="782">
      <c r="B782" s="23" t="n"/>
      <c r="C782" s="24" t="n"/>
      <c r="D782" s="24" t="n"/>
      <c r="E782" s="25">
        <f>IF(D782="","",IF(COUNTIF(Setup!$E$8:$E$13,D782)&gt;0,"Income","Expense"))</f>
        <v/>
      </c>
      <c r="F782" s="26" t="n"/>
      <c r="G782" s="25">
        <f>IF(B782="","",MONTH(B782))</f>
        <v/>
      </c>
    </row>
    <row r="783">
      <c r="B783" s="23" t="n"/>
      <c r="C783" s="24" t="n"/>
      <c r="D783" s="24" t="n"/>
      <c r="E783" s="25">
        <f>IF(D783="","",IF(COUNTIF(Setup!$E$8:$E$13,D783)&gt;0,"Income","Expense"))</f>
        <v/>
      </c>
      <c r="F783" s="26" t="n"/>
      <c r="G783" s="25">
        <f>IF(B783="","",MONTH(B783))</f>
        <v/>
      </c>
    </row>
    <row r="784">
      <c r="B784" s="23" t="n"/>
      <c r="C784" s="24" t="n"/>
      <c r="D784" s="24" t="n"/>
      <c r="E784" s="25">
        <f>IF(D784="","",IF(COUNTIF(Setup!$E$8:$E$13,D784)&gt;0,"Income","Expense"))</f>
        <v/>
      </c>
      <c r="F784" s="26" t="n"/>
      <c r="G784" s="25">
        <f>IF(B784="","",MONTH(B784))</f>
        <v/>
      </c>
    </row>
    <row r="785">
      <c r="B785" s="23" t="n"/>
      <c r="C785" s="24" t="n"/>
      <c r="D785" s="24" t="n"/>
      <c r="E785" s="25">
        <f>IF(D785="","",IF(COUNTIF(Setup!$E$8:$E$13,D785)&gt;0,"Income","Expense"))</f>
        <v/>
      </c>
      <c r="F785" s="26" t="n"/>
      <c r="G785" s="25">
        <f>IF(B785="","",MONTH(B785))</f>
        <v/>
      </c>
    </row>
    <row r="786">
      <c r="B786" s="23" t="n"/>
      <c r="C786" s="24" t="n"/>
      <c r="D786" s="24" t="n"/>
      <c r="E786" s="25">
        <f>IF(D786="","",IF(COUNTIF(Setup!$E$8:$E$13,D786)&gt;0,"Income","Expense"))</f>
        <v/>
      </c>
      <c r="F786" s="26" t="n"/>
      <c r="G786" s="25">
        <f>IF(B786="","",MONTH(B786))</f>
        <v/>
      </c>
    </row>
    <row r="787">
      <c r="B787" s="23" t="n"/>
      <c r="C787" s="24" t="n"/>
      <c r="D787" s="24" t="n"/>
      <c r="E787" s="25">
        <f>IF(D787="","",IF(COUNTIF(Setup!$E$8:$E$13,D787)&gt;0,"Income","Expense"))</f>
        <v/>
      </c>
      <c r="F787" s="26" t="n"/>
      <c r="G787" s="25">
        <f>IF(B787="","",MONTH(B787))</f>
        <v/>
      </c>
    </row>
    <row r="788">
      <c r="B788" s="23" t="n"/>
      <c r="C788" s="24" t="n"/>
      <c r="D788" s="24" t="n"/>
      <c r="E788" s="25">
        <f>IF(D788="","",IF(COUNTIF(Setup!$E$8:$E$13,D788)&gt;0,"Income","Expense"))</f>
        <v/>
      </c>
      <c r="F788" s="26" t="n"/>
      <c r="G788" s="25">
        <f>IF(B788="","",MONTH(B788))</f>
        <v/>
      </c>
    </row>
    <row r="789">
      <c r="B789" s="23" t="n"/>
      <c r="C789" s="24" t="n"/>
      <c r="D789" s="24" t="n"/>
      <c r="E789" s="25">
        <f>IF(D789="","",IF(COUNTIF(Setup!$E$8:$E$13,D789)&gt;0,"Income","Expense"))</f>
        <v/>
      </c>
      <c r="F789" s="26" t="n"/>
      <c r="G789" s="25">
        <f>IF(B789="","",MONTH(B789))</f>
        <v/>
      </c>
    </row>
    <row r="790">
      <c r="B790" s="23" t="n"/>
      <c r="C790" s="24" t="n"/>
      <c r="D790" s="24" t="n"/>
      <c r="E790" s="25">
        <f>IF(D790="","",IF(COUNTIF(Setup!$E$8:$E$13,D790)&gt;0,"Income","Expense"))</f>
        <v/>
      </c>
      <c r="F790" s="26" t="n"/>
      <c r="G790" s="25">
        <f>IF(B790="","",MONTH(B790))</f>
        <v/>
      </c>
    </row>
    <row r="791">
      <c r="B791" s="23" t="n"/>
      <c r="C791" s="24" t="n"/>
      <c r="D791" s="24" t="n"/>
      <c r="E791" s="25">
        <f>IF(D791="","",IF(COUNTIF(Setup!$E$8:$E$13,D791)&gt;0,"Income","Expense"))</f>
        <v/>
      </c>
      <c r="F791" s="26" t="n"/>
      <c r="G791" s="25">
        <f>IF(B791="","",MONTH(B791))</f>
        <v/>
      </c>
    </row>
    <row r="792">
      <c r="B792" s="23" t="n"/>
      <c r="C792" s="24" t="n"/>
      <c r="D792" s="24" t="n"/>
      <c r="E792" s="25">
        <f>IF(D792="","",IF(COUNTIF(Setup!$E$8:$E$13,D792)&gt;0,"Income","Expense"))</f>
        <v/>
      </c>
      <c r="F792" s="26" t="n"/>
      <c r="G792" s="25">
        <f>IF(B792="","",MONTH(B792))</f>
        <v/>
      </c>
    </row>
    <row r="793">
      <c r="B793" s="23" t="n"/>
      <c r="C793" s="24" t="n"/>
      <c r="D793" s="24" t="n"/>
      <c r="E793" s="25">
        <f>IF(D793="","",IF(COUNTIF(Setup!$E$8:$E$13,D793)&gt;0,"Income","Expense"))</f>
        <v/>
      </c>
      <c r="F793" s="26" t="n"/>
      <c r="G793" s="25">
        <f>IF(B793="","",MONTH(B793))</f>
        <v/>
      </c>
    </row>
    <row r="794">
      <c r="B794" s="23" t="n"/>
      <c r="C794" s="24" t="n"/>
      <c r="D794" s="24" t="n"/>
      <c r="E794" s="25">
        <f>IF(D794="","",IF(COUNTIF(Setup!$E$8:$E$13,D794)&gt;0,"Income","Expense"))</f>
        <v/>
      </c>
      <c r="F794" s="26" t="n"/>
      <c r="G794" s="25">
        <f>IF(B794="","",MONTH(B794))</f>
        <v/>
      </c>
    </row>
    <row r="795">
      <c r="B795" s="23" t="n"/>
      <c r="C795" s="24" t="n"/>
      <c r="D795" s="24" t="n"/>
      <c r="E795" s="25">
        <f>IF(D795="","",IF(COUNTIF(Setup!$E$8:$E$13,D795)&gt;0,"Income","Expense"))</f>
        <v/>
      </c>
      <c r="F795" s="26" t="n"/>
      <c r="G795" s="25">
        <f>IF(B795="","",MONTH(B795))</f>
        <v/>
      </c>
    </row>
    <row r="796">
      <c r="B796" s="23" t="n"/>
      <c r="C796" s="24" t="n"/>
      <c r="D796" s="24" t="n"/>
      <c r="E796" s="25">
        <f>IF(D796="","",IF(COUNTIF(Setup!$E$8:$E$13,D796)&gt;0,"Income","Expense"))</f>
        <v/>
      </c>
      <c r="F796" s="26" t="n"/>
      <c r="G796" s="25">
        <f>IF(B796="","",MONTH(B796))</f>
        <v/>
      </c>
    </row>
    <row r="797">
      <c r="B797" s="23" t="n"/>
      <c r="C797" s="24" t="n"/>
      <c r="D797" s="24" t="n"/>
      <c r="E797" s="25">
        <f>IF(D797="","",IF(COUNTIF(Setup!$E$8:$E$13,D797)&gt;0,"Income","Expense"))</f>
        <v/>
      </c>
      <c r="F797" s="26" t="n"/>
      <c r="G797" s="25">
        <f>IF(B797="","",MONTH(B797))</f>
        <v/>
      </c>
    </row>
    <row r="798">
      <c r="B798" s="23" t="n"/>
      <c r="C798" s="24" t="n"/>
      <c r="D798" s="24" t="n"/>
      <c r="E798" s="25">
        <f>IF(D798="","",IF(COUNTIF(Setup!$E$8:$E$13,D798)&gt;0,"Income","Expense"))</f>
        <v/>
      </c>
      <c r="F798" s="26" t="n"/>
      <c r="G798" s="25">
        <f>IF(B798="","",MONTH(B798))</f>
        <v/>
      </c>
    </row>
    <row r="799">
      <c r="B799" s="23" t="n"/>
      <c r="C799" s="24" t="n"/>
      <c r="D799" s="24" t="n"/>
      <c r="E799" s="25">
        <f>IF(D799="","",IF(COUNTIF(Setup!$E$8:$E$13,D799)&gt;0,"Income","Expense"))</f>
        <v/>
      </c>
      <c r="F799" s="26" t="n"/>
      <c r="G799" s="25">
        <f>IF(B799="","",MONTH(B799))</f>
        <v/>
      </c>
    </row>
    <row r="800">
      <c r="B800" s="23" t="n"/>
      <c r="C800" s="24" t="n"/>
      <c r="D800" s="24" t="n"/>
      <c r="E800" s="25">
        <f>IF(D800="","",IF(COUNTIF(Setup!$E$8:$E$13,D800)&gt;0,"Income","Expense"))</f>
        <v/>
      </c>
      <c r="F800" s="26" t="n"/>
      <c r="G800" s="25">
        <f>IF(B800="","",MONTH(B800))</f>
        <v/>
      </c>
    </row>
    <row r="801">
      <c r="B801" s="23" t="n"/>
      <c r="C801" s="24" t="n"/>
      <c r="D801" s="24" t="n"/>
      <c r="E801" s="25">
        <f>IF(D801="","",IF(COUNTIF(Setup!$E$8:$E$13,D801)&gt;0,"Income","Expense"))</f>
        <v/>
      </c>
      <c r="F801" s="26" t="n"/>
      <c r="G801" s="25">
        <f>IF(B801="","",MONTH(B801))</f>
        <v/>
      </c>
    </row>
    <row r="802">
      <c r="B802" s="23" t="n"/>
      <c r="C802" s="24" t="n"/>
      <c r="D802" s="24" t="n"/>
      <c r="E802" s="25">
        <f>IF(D802="","",IF(COUNTIF(Setup!$E$8:$E$13,D802)&gt;0,"Income","Expense"))</f>
        <v/>
      </c>
      <c r="F802" s="26" t="n"/>
      <c r="G802" s="25">
        <f>IF(B802="","",MONTH(B802))</f>
        <v/>
      </c>
    </row>
    <row r="803">
      <c r="B803" s="23" t="n"/>
      <c r="C803" s="24" t="n"/>
      <c r="D803" s="24" t="n"/>
      <c r="E803" s="25">
        <f>IF(D803="","",IF(COUNTIF(Setup!$E$8:$E$13,D803)&gt;0,"Income","Expense"))</f>
        <v/>
      </c>
      <c r="F803" s="26" t="n"/>
      <c r="G803" s="25">
        <f>IF(B803="","",MONTH(B803))</f>
        <v/>
      </c>
    </row>
    <row r="804">
      <c r="B804" s="23" t="n"/>
      <c r="C804" s="24" t="n"/>
      <c r="D804" s="24" t="n"/>
      <c r="E804" s="25">
        <f>IF(D804="","",IF(COUNTIF(Setup!$E$8:$E$13,D804)&gt;0,"Income","Expense"))</f>
        <v/>
      </c>
      <c r="F804" s="26" t="n"/>
      <c r="G804" s="25">
        <f>IF(B804="","",MONTH(B804))</f>
        <v/>
      </c>
    </row>
    <row r="805">
      <c r="B805" s="23" t="n"/>
      <c r="C805" s="24" t="n"/>
      <c r="D805" s="24" t="n"/>
      <c r="E805" s="25">
        <f>IF(D805="","",IF(COUNTIF(Setup!$E$8:$E$13,D805)&gt;0,"Income","Expense"))</f>
        <v/>
      </c>
      <c r="F805" s="26" t="n"/>
      <c r="G805" s="25">
        <f>IF(B805="","",MONTH(B805))</f>
        <v/>
      </c>
    </row>
    <row r="806">
      <c r="B806" s="23" t="n"/>
      <c r="C806" s="24" t="n"/>
      <c r="D806" s="24" t="n"/>
      <c r="E806" s="25">
        <f>IF(D806="","",IF(COUNTIF(Setup!$E$8:$E$13,D806)&gt;0,"Income","Expense"))</f>
        <v/>
      </c>
      <c r="F806" s="26" t="n"/>
      <c r="G806" s="25">
        <f>IF(B806="","",MONTH(B806))</f>
        <v/>
      </c>
    </row>
    <row r="807">
      <c r="B807" s="23" t="n"/>
      <c r="C807" s="24" t="n"/>
      <c r="D807" s="24" t="n"/>
      <c r="E807" s="25">
        <f>IF(D807="","",IF(COUNTIF(Setup!$E$8:$E$13,D807)&gt;0,"Income","Expense"))</f>
        <v/>
      </c>
      <c r="F807" s="26" t="n"/>
      <c r="G807" s="25">
        <f>IF(B807="","",MONTH(B807))</f>
        <v/>
      </c>
    </row>
    <row r="808">
      <c r="B808" s="23" t="n"/>
      <c r="C808" s="24" t="n"/>
      <c r="D808" s="24" t="n"/>
      <c r="E808" s="25">
        <f>IF(D808="","",IF(COUNTIF(Setup!$E$8:$E$13,D808)&gt;0,"Income","Expense"))</f>
        <v/>
      </c>
      <c r="F808" s="26" t="n"/>
      <c r="G808" s="25">
        <f>IF(B808="","",MONTH(B808))</f>
        <v/>
      </c>
    </row>
    <row r="809">
      <c r="B809" s="23" t="n"/>
      <c r="C809" s="24" t="n"/>
      <c r="D809" s="24" t="n"/>
      <c r="E809" s="25">
        <f>IF(D809="","",IF(COUNTIF(Setup!$E$8:$E$13,D809)&gt;0,"Income","Expense"))</f>
        <v/>
      </c>
      <c r="F809" s="26" t="n"/>
      <c r="G809" s="25">
        <f>IF(B809="","",MONTH(B809))</f>
        <v/>
      </c>
    </row>
    <row r="810">
      <c r="B810" s="23" t="n"/>
      <c r="C810" s="24" t="n"/>
      <c r="D810" s="24" t="n"/>
      <c r="E810" s="25">
        <f>IF(D810="","",IF(COUNTIF(Setup!$E$8:$E$13,D810)&gt;0,"Income","Expense"))</f>
        <v/>
      </c>
      <c r="F810" s="26" t="n"/>
      <c r="G810" s="25">
        <f>IF(B810="","",MONTH(B810))</f>
        <v/>
      </c>
    </row>
    <row r="811">
      <c r="B811" s="23" t="n"/>
      <c r="C811" s="24" t="n"/>
      <c r="D811" s="24" t="n"/>
      <c r="E811" s="25">
        <f>IF(D811="","",IF(COUNTIF(Setup!$E$8:$E$13,D811)&gt;0,"Income","Expense"))</f>
        <v/>
      </c>
      <c r="F811" s="26" t="n"/>
      <c r="G811" s="25">
        <f>IF(B811="","",MONTH(B811))</f>
        <v/>
      </c>
    </row>
    <row r="812">
      <c r="B812" s="23" t="n"/>
      <c r="C812" s="24" t="n"/>
      <c r="D812" s="24" t="n"/>
      <c r="E812" s="25">
        <f>IF(D812="","",IF(COUNTIF(Setup!$E$8:$E$13,D812)&gt;0,"Income","Expense"))</f>
        <v/>
      </c>
      <c r="F812" s="26" t="n"/>
      <c r="G812" s="25">
        <f>IF(B812="","",MONTH(B812))</f>
        <v/>
      </c>
    </row>
    <row r="813">
      <c r="B813" s="23" t="n"/>
      <c r="C813" s="24" t="n"/>
      <c r="D813" s="24" t="n"/>
      <c r="E813" s="25">
        <f>IF(D813="","",IF(COUNTIF(Setup!$E$8:$E$13,D813)&gt;0,"Income","Expense"))</f>
        <v/>
      </c>
      <c r="F813" s="26" t="n"/>
      <c r="G813" s="25">
        <f>IF(B813="","",MONTH(B813))</f>
        <v/>
      </c>
    </row>
    <row r="814">
      <c r="B814" s="23" t="n"/>
      <c r="C814" s="24" t="n"/>
      <c r="D814" s="24" t="n"/>
      <c r="E814" s="25">
        <f>IF(D814="","",IF(COUNTIF(Setup!$E$8:$E$13,D814)&gt;0,"Income","Expense"))</f>
        <v/>
      </c>
      <c r="F814" s="26" t="n"/>
      <c r="G814" s="25">
        <f>IF(B814="","",MONTH(B814))</f>
        <v/>
      </c>
    </row>
    <row r="815">
      <c r="B815" s="23" t="n"/>
      <c r="C815" s="24" t="n"/>
      <c r="D815" s="24" t="n"/>
      <c r="E815" s="25">
        <f>IF(D815="","",IF(COUNTIF(Setup!$E$8:$E$13,D815)&gt;0,"Income","Expense"))</f>
        <v/>
      </c>
      <c r="F815" s="26" t="n"/>
      <c r="G815" s="25">
        <f>IF(B815="","",MONTH(B815))</f>
        <v/>
      </c>
    </row>
    <row r="816">
      <c r="B816" s="23" t="n"/>
      <c r="C816" s="24" t="n"/>
      <c r="D816" s="24" t="n"/>
      <c r="E816" s="25">
        <f>IF(D816="","",IF(COUNTIF(Setup!$E$8:$E$13,D816)&gt;0,"Income","Expense"))</f>
        <v/>
      </c>
      <c r="F816" s="26" t="n"/>
      <c r="G816" s="25">
        <f>IF(B816="","",MONTH(B816))</f>
        <v/>
      </c>
    </row>
    <row r="817">
      <c r="B817" s="23" t="n"/>
      <c r="C817" s="24" t="n"/>
      <c r="D817" s="24" t="n"/>
      <c r="E817" s="25">
        <f>IF(D817="","",IF(COUNTIF(Setup!$E$8:$E$13,D817)&gt;0,"Income","Expense"))</f>
        <v/>
      </c>
      <c r="F817" s="26" t="n"/>
      <c r="G817" s="25">
        <f>IF(B817="","",MONTH(B817))</f>
        <v/>
      </c>
    </row>
    <row r="818">
      <c r="B818" s="23" t="n"/>
      <c r="C818" s="24" t="n"/>
      <c r="D818" s="24" t="n"/>
      <c r="E818" s="25">
        <f>IF(D818="","",IF(COUNTIF(Setup!$E$8:$E$13,D818)&gt;0,"Income","Expense"))</f>
        <v/>
      </c>
      <c r="F818" s="26" t="n"/>
      <c r="G818" s="25">
        <f>IF(B818="","",MONTH(B818))</f>
        <v/>
      </c>
    </row>
    <row r="819">
      <c r="B819" s="23" t="n"/>
      <c r="C819" s="24" t="n"/>
      <c r="D819" s="24" t="n"/>
      <c r="E819" s="25">
        <f>IF(D819="","",IF(COUNTIF(Setup!$E$8:$E$13,D819)&gt;0,"Income","Expense"))</f>
        <v/>
      </c>
      <c r="F819" s="26" t="n"/>
      <c r="G819" s="25">
        <f>IF(B819="","",MONTH(B819))</f>
        <v/>
      </c>
    </row>
    <row r="820">
      <c r="B820" s="23" t="n"/>
      <c r="C820" s="24" t="n"/>
      <c r="D820" s="24" t="n"/>
      <c r="E820" s="25">
        <f>IF(D820="","",IF(COUNTIF(Setup!$E$8:$E$13,D820)&gt;0,"Income","Expense"))</f>
        <v/>
      </c>
      <c r="F820" s="26" t="n"/>
      <c r="G820" s="25">
        <f>IF(B820="","",MONTH(B820))</f>
        <v/>
      </c>
    </row>
    <row r="821">
      <c r="B821" s="23" t="n"/>
      <c r="C821" s="24" t="n"/>
      <c r="D821" s="24" t="n"/>
      <c r="E821" s="25">
        <f>IF(D821="","",IF(COUNTIF(Setup!$E$8:$E$13,D821)&gt;0,"Income","Expense"))</f>
        <v/>
      </c>
      <c r="F821" s="26" t="n"/>
      <c r="G821" s="25">
        <f>IF(B821="","",MONTH(B821))</f>
        <v/>
      </c>
    </row>
    <row r="822">
      <c r="B822" s="23" t="n"/>
      <c r="C822" s="24" t="n"/>
      <c r="D822" s="24" t="n"/>
      <c r="E822" s="25">
        <f>IF(D822="","",IF(COUNTIF(Setup!$E$8:$E$13,D822)&gt;0,"Income","Expense"))</f>
        <v/>
      </c>
      <c r="F822" s="26" t="n"/>
      <c r="G822" s="25">
        <f>IF(B822="","",MONTH(B822))</f>
        <v/>
      </c>
    </row>
    <row r="823">
      <c r="B823" s="23" t="n"/>
      <c r="C823" s="24" t="n"/>
      <c r="D823" s="24" t="n"/>
      <c r="E823" s="25">
        <f>IF(D823="","",IF(COUNTIF(Setup!$E$8:$E$13,D823)&gt;0,"Income","Expense"))</f>
        <v/>
      </c>
      <c r="F823" s="26" t="n"/>
      <c r="G823" s="25">
        <f>IF(B823="","",MONTH(B823))</f>
        <v/>
      </c>
    </row>
    <row r="824">
      <c r="B824" s="23" t="n"/>
      <c r="C824" s="24" t="n"/>
      <c r="D824" s="24" t="n"/>
      <c r="E824" s="25">
        <f>IF(D824="","",IF(COUNTIF(Setup!$E$8:$E$13,D824)&gt;0,"Income","Expense"))</f>
        <v/>
      </c>
      <c r="F824" s="26" t="n"/>
      <c r="G824" s="25">
        <f>IF(B824="","",MONTH(B824))</f>
        <v/>
      </c>
    </row>
    <row r="825">
      <c r="B825" s="23" t="n"/>
      <c r="C825" s="24" t="n"/>
      <c r="D825" s="24" t="n"/>
      <c r="E825" s="25">
        <f>IF(D825="","",IF(COUNTIF(Setup!$E$8:$E$13,D825)&gt;0,"Income","Expense"))</f>
        <v/>
      </c>
      <c r="F825" s="26" t="n"/>
      <c r="G825" s="25">
        <f>IF(B825="","",MONTH(B825))</f>
        <v/>
      </c>
    </row>
    <row r="826">
      <c r="B826" s="23" t="n"/>
      <c r="C826" s="24" t="n"/>
      <c r="D826" s="24" t="n"/>
      <c r="E826" s="25">
        <f>IF(D826="","",IF(COUNTIF(Setup!$E$8:$E$13,D826)&gt;0,"Income","Expense"))</f>
        <v/>
      </c>
      <c r="F826" s="26" t="n"/>
      <c r="G826" s="25">
        <f>IF(B826="","",MONTH(B826))</f>
        <v/>
      </c>
    </row>
    <row r="827">
      <c r="B827" s="23" t="n"/>
      <c r="C827" s="24" t="n"/>
      <c r="D827" s="24" t="n"/>
      <c r="E827" s="25">
        <f>IF(D827="","",IF(COUNTIF(Setup!$E$8:$E$13,D827)&gt;0,"Income","Expense"))</f>
        <v/>
      </c>
      <c r="F827" s="26" t="n"/>
      <c r="G827" s="25">
        <f>IF(B827="","",MONTH(B827))</f>
        <v/>
      </c>
    </row>
    <row r="828">
      <c r="B828" s="23" t="n"/>
      <c r="C828" s="24" t="n"/>
      <c r="D828" s="24" t="n"/>
      <c r="E828" s="25">
        <f>IF(D828="","",IF(COUNTIF(Setup!$E$8:$E$13,D828)&gt;0,"Income","Expense"))</f>
        <v/>
      </c>
      <c r="F828" s="26" t="n"/>
      <c r="G828" s="25">
        <f>IF(B828="","",MONTH(B828))</f>
        <v/>
      </c>
    </row>
    <row r="829">
      <c r="B829" s="23" t="n"/>
      <c r="C829" s="24" t="n"/>
      <c r="D829" s="24" t="n"/>
      <c r="E829" s="25">
        <f>IF(D829="","",IF(COUNTIF(Setup!$E$8:$E$13,D829)&gt;0,"Income","Expense"))</f>
        <v/>
      </c>
      <c r="F829" s="26" t="n"/>
      <c r="G829" s="25">
        <f>IF(B829="","",MONTH(B829))</f>
        <v/>
      </c>
    </row>
    <row r="830">
      <c r="B830" s="23" t="n"/>
      <c r="C830" s="24" t="n"/>
      <c r="D830" s="24" t="n"/>
      <c r="E830" s="25">
        <f>IF(D830="","",IF(COUNTIF(Setup!$E$8:$E$13,D830)&gt;0,"Income","Expense"))</f>
        <v/>
      </c>
      <c r="F830" s="26" t="n"/>
      <c r="G830" s="25">
        <f>IF(B830="","",MONTH(B830))</f>
        <v/>
      </c>
    </row>
    <row r="831">
      <c r="B831" s="23" t="n"/>
      <c r="C831" s="24" t="n"/>
      <c r="D831" s="24" t="n"/>
      <c r="E831" s="25">
        <f>IF(D831="","",IF(COUNTIF(Setup!$E$8:$E$13,D831)&gt;0,"Income","Expense"))</f>
        <v/>
      </c>
      <c r="F831" s="26" t="n"/>
      <c r="G831" s="25">
        <f>IF(B831="","",MONTH(B831))</f>
        <v/>
      </c>
    </row>
    <row r="832">
      <c r="B832" s="23" t="n"/>
      <c r="C832" s="24" t="n"/>
      <c r="D832" s="24" t="n"/>
      <c r="E832" s="25">
        <f>IF(D832="","",IF(COUNTIF(Setup!$E$8:$E$13,D832)&gt;0,"Income","Expense"))</f>
        <v/>
      </c>
      <c r="F832" s="26" t="n"/>
      <c r="G832" s="25">
        <f>IF(B832="","",MONTH(B832))</f>
        <v/>
      </c>
    </row>
    <row r="833">
      <c r="B833" s="23" t="n"/>
      <c r="C833" s="24" t="n"/>
      <c r="D833" s="24" t="n"/>
      <c r="E833" s="25">
        <f>IF(D833="","",IF(COUNTIF(Setup!$E$8:$E$13,D833)&gt;0,"Income","Expense"))</f>
        <v/>
      </c>
      <c r="F833" s="26" t="n"/>
      <c r="G833" s="25">
        <f>IF(B833="","",MONTH(B833))</f>
        <v/>
      </c>
    </row>
    <row r="834">
      <c r="B834" s="23" t="n"/>
      <c r="C834" s="24" t="n"/>
      <c r="D834" s="24" t="n"/>
      <c r="E834" s="25">
        <f>IF(D834="","",IF(COUNTIF(Setup!$E$8:$E$13,D834)&gt;0,"Income","Expense"))</f>
        <v/>
      </c>
      <c r="F834" s="26" t="n"/>
      <c r="G834" s="25">
        <f>IF(B834="","",MONTH(B834))</f>
        <v/>
      </c>
    </row>
    <row r="835">
      <c r="B835" s="23" t="n"/>
      <c r="C835" s="24" t="n"/>
      <c r="D835" s="24" t="n"/>
      <c r="E835" s="25">
        <f>IF(D835="","",IF(COUNTIF(Setup!$E$8:$E$13,D835)&gt;0,"Income","Expense"))</f>
        <v/>
      </c>
      <c r="F835" s="26" t="n"/>
      <c r="G835" s="25">
        <f>IF(B835="","",MONTH(B835))</f>
        <v/>
      </c>
    </row>
    <row r="836">
      <c r="B836" s="23" t="n"/>
      <c r="C836" s="24" t="n"/>
      <c r="D836" s="24" t="n"/>
      <c r="E836" s="25">
        <f>IF(D836="","",IF(COUNTIF(Setup!$E$8:$E$13,D836)&gt;0,"Income","Expense"))</f>
        <v/>
      </c>
      <c r="F836" s="26" t="n"/>
      <c r="G836" s="25">
        <f>IF(B836="","",MONTH(B836))</f>
        <v/>
      </c>
    </row>
    <row r="837">
      <c r="B837" s="23" t="n"/>
      <c r="C837" s="24" t="n"/>
      <c r="D837" s="24" t="n"/>
      <c r="E837" s="25">
        <f>IF(D837="","",IF(COUNTIF(Setup!$E$8:$E$13,D837)&gt;0,"Income","Expense"))</f>
        <v/>
      </c>
      <c r="F837" s="26" t="n"/>
      <c r="G837" s="25">
        <f>IF(B837="","",MONTH(B837))</f>
        <v/>
      </c>
    </row>
    <row r="838">
      <c r="B838" s="23" t="n"/>
      <c r="C838" s="24" t="n"/>
      <c r="D838" s="24" t="n"/>
      <c r="E838" s="25">
        <f>IF(D838="","",IF(COUNTIF(Setup!$E$8:$E$13,D838)&gt;0,"Income","Expense"))</f>
        <v/>
      </c>
      <c r="F838" s="26" t="n"/>
      <c r="G838" s="25">
        <f>IF(B838="","",MONTH(B838))</f>
        <v/>
      </c>
    </row>
    <row r="839">
      <c r="B839" s="23" t="n"/>
      <c r="C839" s="24" t="n"/>
      <c r="D839" s="24" t="n"/>
      <c r="E839" s="25">
        <f>IF(D839="","",IF(COUNTIF(Setup!$E$8:$E$13,D839)&gt;0,"Income","Expense"))</f>
        <v/>
      </c>
      <c r="F839" s="26" t="n"/>
      <c r="G839" s="25">
        <f>IF(B839="","",MONTH(B839))</f>
        <v/>
      </c>
    </row>
    <row r="840">
      <c r="B840" s="23" t="n"/>
      <c r="C840" s="24" t="n"/>
      <c r="D840" s="24" t="n"/>
      <c r="E840" s="25">
        <f>IF(D840="","",IF(COUNTIF(Setup!$E$8:$E$13,D840)&gt;0,"Income","Expense"))</f>
        <v/>
      </c>
      <c r="F840" s="26" t="n"/>
      <c r="G840" s="25">
        <f>IF(B840="","",MONTH(B840))</f>
        <v/>
      </c>
    </row>
    <row r="841">
      <c r="B841" s="23" t="n"/>
      <c r="C841" s="24" t="n"/>
      <c r="D841" s="24" t="n"/>
      <c r="E841" s="25">
        <f>IF(D841="","",IF(COUNTIF(Setup!$E$8:$E$13,D841)&gt;0,"Income","Expense"))</f>
        <v/>
      </c>
      <c r="F841" s="26" t="n"/>
      <c r="G841" s="25">
        <f>IF(B841="","",MONTH(B841))</f>
        <v/>
      </c>
    </row>
    <row r="842">
      <c r="B842" s="23" t="n"/>
      <c r="C842" s="24" t="n"/>
      <c r="D842" s="24" t="n"/>
      <c r="E842" s="25">
        <f>IF(D842="","",IF(COUNTIF(Setup!$E$8:$E$13,D842)&gt;0,"Income","Expense"))</f>
        <v/>
      </c>
      <c r="F842" s="26" t="n"/>
      <c r="G842" s="25">
        <f>IF(B842="","",MONTH(B842))</f>
        <v/>
      </c>
    </row>
    <row r="843">
      <c r="B843" s="23" t="n"/>
      <c r="C843" s="24" t="n"/>
      <c r="D843" s="24" t="n"/>
      <c r="E843" s="25">
        <f>IF(D843="","",IF(COUNTIF(Setup!$E$8:$E$13,D843)&gt;0,"Income","Expense"))</f>
        <v/>
      </c>
      <c r="F843" s="26" t="n"/>
      <c r="G843" s="25">
        <f>IF(B843="","",MONTH(B843))</f>
        <v/>
      </c>
    </row>
    <row r="844">
      <c r="B844" s="23" t="n"/>
      <c r="C844" s="24" t="n"/>
      <c r="D844" s="24" t="n"/>
      <c r="E844" s="25">
        <f>IF(D844="","",IF(COUNTIF(Setup!$E$8:$E$13,D844)&gt;0,"Income","Expense"))</f>
        <v/>
      </c>
      <c r="F844" s="26" t="n"/>
      <c r="G844" s="25">
        <f>IF(B844="","",MONTH(B844))</f>
        <v/>
      </c>
    </row>
    <row r="845">
      <c r="B845" s="23" t="n"/>
      <c r="C845" s="24" t="n"/>
      <c r="D845" s="24" t="n"/>
      <c r="E845" s="25">
        <f>IF(D845="","",IF(COUNTIF(Setup!$E$8:$E$13,D845)&gt;0,"Income","Expense"))</f>
        <v/>
      </c>
      <c r="F845" s="26" t="n"/>
      <c r="G845" s="25">
        <f>IF(B845="","",MONTH(B845))</f>
        <v/>
      </c>
    </row>
    <row r="846">
      <c r="B846" s="23" t="n"/>
      <c r="C846" s="24" t="n"/>
      <c r="D846" s="24" t="n"/>
      <c r="E846" s="25">
        <f>IF(D846="","",IF(COUNTIF(Setup!$E$8:$E$13,D846)&gt;0,"Income","Expense"))</f>
        <v/>
      </c>
      <c r="F846" s="26" t="n"/>
      <c r="G846" s="25">
        <f>IF(B846="","",MONTH(B846))</f>
        <v/>
      </c>
    </row>
    <row r="847">
      <c r="B847" s="23" t="n"/>
      <c r="C847" s="24" t="n"/>
      <c r="D847" s="24" t="n"/>
      <c r="E847" s="25">
        <f>IF(D847="","",IF(COUNTIF(Setup!$E$8:$E$13,D847)&gt;0,"Income","Expense"))</f>
        <v/>
      </c>
      <c r="F847" s="26" t="n"/>
      <c r="G847" s="25">
        <f>IF(B847="","",MONTH(B847))</f>
        <v/>
      </c>
    </row>
    <row r="848">
      <c r="B848" s="23" t="n"/>
      <c r="C848" s="24" t="n"/>
      <c r="D848" s="24" t="n"/>
      <c r="E848" s="25">
        <f>IF(D848="","",IF(COUNTIF(Setup!$E$8:$E$13,D848)&gt;0,"Income","Expense"))</f>
        <v/>
      </c>
      <c r="F848" s="26" t="n"/>
      <c r="G848" s="25">
        <f>IF(B848="","",MONTH(B848))</f>
        <v/>
      </c>
    </row>
    <row r="849">
      <c r="B849" s="23" t="n"/>
      <c r="C849" s="24" t="n"/>
      <c r="D849" s="24" t="n"/>
      <c r="E849" s="25">
        <f>IF(D849="","",IF(COUNTIF(Setup!$E$8:$E$13,D849)&gt;0,"Income","Expense"))</f>
        <v/>
      </c>
      <c r="F849" s="26" t="n"/>
      <c r="G849" s="25">
        <f>IF(B849="","",MONTH(B849))</f>
        <v/>
      </c>
    </row>
    <row r="850">
      <c r="B850" s="23" t="n"/>
      <c r="C850" s="24" t="n"/>
      <c r="D850" s="24" t="n"/>
      <c r="E850" s="25">
        <f>IF(D850="","",IF(COUNTIF(Setup!$E$8:$E$13,D850)&gt;0,"Income","Expense"))</f>
        <v/>
      </c>
      <c r="F850" s="26" t="n"/>
      <c r="G850" s="25">
        <f>IF(B850="","",MONTH(B850))</f>
        <v/>
      </c>
    </row>
    <row r="851">
      <c r="B851" s="23" t="n"/>
      <c r="C851" s="24" t="n"/>
      <c r="D851" s="24" t="n"/>
      <c r="E851" s="25">
        <f>IF(D851="","",IF(COUNTIF(Setup!$E$8:$E$13,D851)&gt;0,"Income","Expense"))</f>
        <v/>
      </c>
      <c r="F851" s="26" t="n"/>
      <c r="G851" s="25">
        <f>IF(B851="","",MONTH(B851))</f>
        <v/>
      </c>
    </row>
    <row r="852">
      <c r="B852" s="23" t="n"/>
      <c r="C852" s="24" t="n"/>
      <c r="D852" s="24" t="n"/>
      <c r="E852" s="25">
        <f>IF(D852="","",IF(COUNTIF(Setup!$E$8:$E$13,D852)&gt;0,"Income","Expense"))</f>
        <v/>
      </c>
      <c r="F852" s="26" t="n"/>
      <c r="G852" s="25">
        <f>IF(B852="","",MONTH(B852))</f>
        <v/>
      </c>
    </row>
    <row r="853">
      <c r="B853" s="23" t="n"/>
      <c r="C853" s="24" t="n"/>
      <c r="D853" s="24" t="n"/>
      <c r="E853" s="25">
        <f>IF(D853="","",IF(COUNTIF(Setup!$E$8:$E$13,D853)&gt;0,"Income","Expense"))</f>
        <v/>
      </c>
      <c r="F853" s="26" t="n"/>
      <c r="G853" s="25">
        <f>IF(B853="","",MONTH(B853))</f>
        <v/>
      </c>
    </row>
    <row r="854">
      <c r="B854" s="23" t="n"/>
      <c r="C854" s="24" t="n"/>
      <c r="D854" s="24" t="n"/>
      <c r="E854" s="25">
        <f>IF(D854="","",IF(COUNTIF(Setup!$E$8:$E$13,D854)&gt;0,"Income","Expense"))</f>
        <v/>
      </c>
      <c r="F854" s="26" t="n"/>
      <c r="G854" s="25">
        <f>IF(B854="","",MONTH(B854))</f>
        <v/>
      </c>
    </row>
    <row r="855">
      <c r="B855" s="23" t="n"/>
      <c r="C855" s="24" t="n"/>
      <c r="D855" s="24" t="n"/>
      <c r="E855" s="25">
        <f>IF(D855="","",IF(COUNTIF(Setup!$E$8:$E$13,D855)&gt;0,"Income","Expense"))</f>
        <v/>
      </c>
      <c r="F855" s="26" t="n"/>
      <c r="G855" s="25">
        <f>IF(B855="","",MONTH(B855))</f>
        <v/>
      </c>
    </row>
    <row r="856">
      <c r="B856" s="23" t="n"/>
      <c r="C856" s="24" t="n"/>
      <c r="D856" s="24" t="n"/>
      <c r="E856" s="25">
        <f>IF(D856="","",IF(COUNTIF(Setup!$E$8:$E$13,D856)&gt;0,"Income","Expense"))</f>
        <v/>
      </c>
      <c r="F856" s="26" t="n"/>
      <c r="G856" s="25">
        <f>IF(B856="","",MONTH(B856))</f>
        <v/>
      </c>
    </row>
    <row r="857">
      <c r="B857" s="23" t="n"/>
      <c r="C857" s="24" t="n"/>
      <c r="D857" s="24" t="n"/>
      <c r="E857" s="25">
        <f>IF(D857="","",IF(COUNTIF(Setup!$E$8:$E$13,D857)&gt;0,"Income","Expense"))</f>
        <v/>
      </c>
      <c r="F857" s="26" t="n"/>
      <c r="G857" s="25">
        <f>IF(B857="","",MONTH(B857))</f>
        <v/>
      </c>
    </row>
    <row r="858">
      <c r="B858" s="23" t="n"/>
      <c r="C858" s="24" t="n"/>
      <c r="D858" s="24" t="n"/>
      <c r="E858" s="25">
        <f>IF(D858="","",IF(COUNTIF(Setup!$E$8:$E$13,D858)&gt;0,"Income","Expense"))</f>
        <v/>
      </c>
      <c r="F858" s="26" t="n"/>
      <c r="G858" s="25">
        <f>IF(B858="","",MONTH(B858))</f>
        <v/>
      </c>
    </row>
    <row r="859">
      <c r="B859" s="23" t="n"/>
      <c r="C859" s="24" t="n"/>
      <c r="D859" s="24" t="n"/>
      <c r="E859" s="25">
        <f>IF(D859="","",IF(COUNTIF(Setup!$E$8:$E$13,D859)&gt;0,"Income","Expense"))</f>
        <v/>
      </c>
      <c r="F859" s="26" t="n"/>
      <c r="G859" s="25">
        <f>IF(B859="","",MONTH(B859))</f>
        <v/>
      </c>
    </row>
    <row r="860">
      <c r="B860" s="23" t="n"/>
      <c r="C860" s="24" t="n"/>
      <c r="D860" s="24" t="n"/>
      <c r="E860" s="25">
        <f>IF(D860="","",IF(COUNTIF(Setup!$E$8:$E$13,D860)&gt;0,"Income","Expense"))</f>
        <v/>
      </c>
      <c r="F860" s="26" t="n"/>
      <c r="G860" s="25">
        <f>IF(B860="","",MONTH(B860))</f>
        <v/>
      </c>
    </row>
    <row r="861">
      <c r="B861" s="23" t="n"/>
      <c r="C861" s="24" t="n"/>
      <c r="D861" s="24" t="n"/>
      <c r="E861" s="25">
        <f>IF(D861="","",IF(COUNTIF(Setup!$E$8:$E$13,D861)&gt;0,"Income","Expense"))</f>
        <v/>
      </c>
      <c r="F861" s="26" t="n"/>
      <c r="G861" s="25">
        <f>IF(B861="","",MONTH(B861))</f>
        <v/>
      </c>
    </row>
    <row r="862">
      <c r="B862" s="23" t="n"/>
      <c r="C862" s="24" t="n"/>
      <c r="D862" s="24" t="n"/>
      <c r="E862" s="25">
        <f>IF(D862="","",IF(COUNTIF(Setup!$E$8:$E$13,D862)&gt;0,"Income","Expense"))</f>
        <v/>
      </c>
      <c r="F862" s="26" t="n"/>
      <c r="G862" s="25">
        <f>IF(B862="","",MONTH(B862))</f>
        <v/>
      </c>
    </row>
    <row r="863">
      <c r="B863" s="23" t="n"/>
      <c r="C863" s="24" t="n"/>
      <c r="D863" s="24" t="n"/>
      <c r="E863" s="25">
        <f>IF(D863="","",IF(COUNTIF(Setup!$E$8:$E$13,D863)&gt;0,"Income","Expense"))</f>
        <v/>
      </c>
      <c r="F863" s="26" t="n"/>
      <c r="G863" s="25">
        <f>IF(B863="","",MONTH(B863))</f>
        <v/>
      </c>
    </row>
    <row r="864">
      <c r="B864" s="23" t="n"/>
      <c r="C864" s="24" t="n"/>
      <c r="D864" s="24" t="n"/>
      <c r="E864" s="25">
        <f>IF(D864="","",IF(COUNTIF(Setup!$E$8:$E$13,D864)&gt;0,"Income","Expense"))</f>
        <v/>
      </c>
      <c r="F864" s="26" t="n"/>
      <c r="G864" s="25">
        <f>IF(B864="","",MONTH(B864))</f>
        <v/>
      </c>
    </row>
    <row r="865">
      <c r="B865" s="23" t="n"/>
      <c r="C865" s="24" t="n"/>
      <c r="D865" s="24" t="n"/>
      <c r="E865" s="25">
        <f>IF(D865="","",IF(COUNTIF(Setup!$E$8:$E$13,D865)&gt;0,"Income","Expense"))</f>
        <v/>
      </c>
      <c r="F865" s="26" t="n"/>
      <c r="G865" s="25">
        <f>IF(B865="","",MONTH(B865))</f>
        <v/>
      </c>
    </row>
    <row r="866">
      <c r="B866" s="23" t="n"/>
      <c r="C866" s="24" t="n"/>
      <c r="D866" s="24" t="n"/>
      <c r="E866" s="25">
        <f>IF(D866="","",IF(COUNTIF(Setup!$E$8:$E$13,D866)&gt;0,"Income","Expense"))</f>
        <v/>
      </c>
      <c r="F866" s="26" t="n"/>
      <c r="G866" s="25">
        <f>IF(B866="","",MONTH(B866))</f>
        <v/>
      </c>
    </row>
    <row r="867">
      <c r="B867" s="23" t="n"/>
      <c r="C867" s="24" t="n"/>
      <c r="D867" s="24" t="n"/>
      <c r="E867" s="25">
        <f>IF(D867="","",IF(COUNTIF(Setup!$E$8:$E$13,D867)&gt;0,"Income","Expense"))</f>
        <v/>
      </c>
      <c r="F867" s="26" t="n"/>
      <c r="G867" s="25">
        <f>IF(B867="","",MONTH(B867))</f>
        <v/>
      </c>
    </row>
    <row r="868">
      <c r="B868" s="23" t="n"/>
      <c r="C868" s="24" t="n"/>
      <c r="D868" s="24" t="n"/>
      <c r="E868" s="25">
        <f>IF(D868="","",IF(COUNTIF(Setup!$E$8:$E$13,D868)&gt;0,"Income","Expense"))</f>
        <v/>
      </c>
      <c r="F868" s="26" t="n"/>
      <c r="G868" s="25">
        <f>IF(B868="","",MONTH(B868))</f>
        <v/>
      </c>
    </row>
    <row r="869">
      <c r="B869" s="23" t="n"/>
      <c r="C869" s="24" t="n"/>
      <c r="D869" s="24" t="n"/>
      <c r="E869" s="25">
        <f>IF(D869="","",IF(COUNTIF(Setup!$E$8:$E$13,D869)&gt;0,"Income","Expense"))</f>
        <v/>
      </c>
      <c r="F869" s="26" t="n"/>
      <c r="G869" s="25">
        <f>IF(B869="","",MONTH(B869))</f>
        <v/>
      </c>
    </row>
    <row r="870">
      <c r="B870" s="23" t="n"/>
      <c r="C870" s="24" t="n"/>
      <c r="D870" s="24" t="n"/>
      <c r="E870" s="25">
        <f>IF(D870="","",IF(COUNTIF(Setup!$E$8:$E$13,D870)&gt;0,"Income","Expense"))</f>
        <v/>
      </c>
      <c r="F870" s="26" t="n"/>
      <c r="G870" s="25">
        <f>IF(B870="","",MONTH(B870))</f>
        <v/>
      </c>
    </row>
    <row r="871">
      <c r="B871" s="23" t="n"/>
      <c r="C871" s="24" t="n"/>
      <c r="D871" s="24" t="n"/>
      <c r="E871" s="25">
        <f>IF(D871="","",IF(COUNTIF(Setup!$E$8:$E$13,D871)&gt;0,"Income","Expense"))</f>
        <v/>
      </c>
      <c r="F871" s="26" t="n"/>
      <c r="G871" s="25">
        <f>IF(B871="","",MONTH(B871))</f>
        <v/>
      </c>
    </row>
    <row r="872">
      <c r="B872" s="23" t="n"/>
      <c r="C872" s="24" t="n"/>
      <c r="D872" s="24" t="n"/>
      <c r="E872" s="25">
        <f>IF(D872="","",IF(COUNTIF(Setup!$E$8:$E$13,D872)&gt;0,"Income","Expense"))</f>
        <v/>
      </c>
      <c r="F872" s="26" t="n"/>
      <c r="G872" s="25">
        <f>IF(B872="","",MONTH(B872))</f>
        <v/>
      </c>
    </row>
    <row r="873">
      <c r="B873" s="23" t="n"/>
      <c r="C873" s="24" t="n"/>
      <c r="D873" s="24" t="n"/>
      <c r="E873" s="25">
        <f>IF(D873="","",IF(COUNTIF(Setup!$E$8:$E$13,D873)&gt;0,"Income","Expense"))</f>
        <v/>
      </c>
      <c r="F873" s="26" t="n"/>
      <c r="G873" s="25">
        <f>IF(B873="","",MONTH(B873))</f>
        <v/>
      </c>
    </row>
    <row r="874">
      <c r="B874" s="23" t="n"/>
      <c r="C874" s="24" t="n"/>
      <c r="D874" s="24" t="n"/>
      <c r="E874" s="25">
        <f>IF(D874="","",IF(COUNTIF(Setup!$E$8:$E$13,D874)&gt;0,"Income","Expense"))</f>
        <v/>
      </c>
      <c r="F874" s="26" t="n"/>
      <c r="G874" s="25">
        <f>IF(B874="","",MONTH(B874))</f>
        <v/>
      </c>
    </row>
    <row r="875">
      <c r="B875" s="23" t="n"/>
      <c r="C875" s="24" t="n"/>
      <c r="D875" s="24" t="n"/>
      <c r="E875" s="25">
        <f>IF(D875="","",IF(COUNTIF(Setup!$E$8:$E$13,D875)&gt;0,"Income","Expense"))</f>
        <v/>
      </c>
      <c r="F875" s="26" t="n"/>
      <c r="G875" s="25">
        <f>IF(B875="","",MONTH(B875))</f>
        <v/>
      </c>
    </row>
    <row r="876">
      <c r="B876" s="23" t="n"/>
      <c r="C876" s="24" t="n"/>
      <c r="D876" s="24" t="n"/>
      <c r="E876" s="25">
        <f>IF(D876="","",IF(COUNTIF(Setup!$E$8:$E$13,D876)&gt;0,"Income","Expense"))</f>
        <v/>
      </c>
      <c r="F876" s="26" t="n"/>
      <c r="G876" s="25">
        <f>IF(B876="","",MONTH(B876))</f>
        <v/>
      </c>
    </row>
    <row r="877">
      <c r="B877" s="23" t="n"/>
      <c r="C877" s="24" t="n"/>
      <c r="D877" s="24" t="n"/>
      <c r="E877" s="25">
        <f>IF(D877="","",IF(COUNTIF(Setup!$E$8:$E$13,D877)&gt;0,"Income","Expense"))</f>
        <v/>
      </c>
      <c r="F877" s="26" t="n"/>
      <c r="G877" s="25">
        <f>IF(B877="","",MONTH(B877))</f>
        <v/>
      </c>
    </row>
    <row r="878">
      <c r="B878" s="23" t="n"/>
      <c r="C878" s="24" t="n"/>
      <c r="D878" s="24" t="n"/>
      <c r="E878" s="25">
        <f>IF(D878="","",IF(COUNTIF(Setup!$E$8:$E$13,D878)&gt;0,"Income","Expense"))</f>
        <v/>
      </c>
      <c r="F878" s="26" t="n"/>
      <c r="G878" s="25">
        <f>IF(B878="","",MONTH(B878))</f>
        <v/>
      </c>
    </row>
    <row r="879">
      <c r="B879" s="23" t="n"/>
      <c r="C879" s="24" t="n"/>
      <c r="D879" s="24" t="n"/>
      <c r="E879" s="25">
        <f>IF(D879="","",IF(COUNTIF(Setup!$E$8:$E$13,D879)&gt;0,"Income","Expense"))</f>
        <v/>
      </c>
      <c r="F879" s="26" t="n"/>
      <c r="G879" s="25">
        <f>IF(B879="","",MONTH(B879))</f>
        <v/>
      </c>
    </row>
    <row r="880">
      <c r="B880" s="23" t="n"/>
      <c r="C880" s="24" t="n"/>
      <c r="D880" s="24" t="n"/>
      <c r="E880" s="25">
        <f>IF(D880="","",IF(COUNTIF(Setup!$E$8:$E$13,D880)&gt;0,"Income","Expense"))</f>
        <v/>
      </c>
      <c r="F880" s="26" t="n"/>
      <c r="G880" s="25">
        <f>IF(B880="","",MONTH(B880))</f>
        <v/>
      </c>
    </row>
    <row r="881">
      <c r="B881" s="23" t="n"/>
      <c r="C881" s="24" t="n"/>
      <c r="D881" s="24" t="n"/>
      <c r="E881" s="25">
        <f>IF(D881="","",IF(COUNTIF(Setup!$E$8:$E$13,D881)&gt;0,"Income","Expense"))</f>
        <v/>
      </c>
      <c r="F881" s="26" t="n"/>
      <c r="G881" s="25">
        <f>IF(B881="","",MONTH(B881))</f>
        <v/>
      </c>
    </row>
    <row r="882">
      <c r="B882" s="23" t="n"/>
      <c r="C882" s="24" t="n"/>
      <c r="D882" s="24" t="n"/>
      <c r="E882" s="25">
        <f>IF(D882="","",IF(COUNTIF(Setup!$E$8:$E$13,D882)&gt;0,"Income","Expense"))</f>
        <v/>
      </c>
      <c r="F882" s="26" t="n"/>
      <c r="G882" s="25">
        <f>IF(B882="","",MONTH(B882))</f>
        <v/>
      </c>
    </row>
    <row r="883">
      <c r="B883" s="23" t="n"/>
      <c r="C883" s="24" t="n"/>
      <c r="D883" s="24" t="n"/>
      <c r="E883" s="25">
        <f>IF(D883="","",IF(COUNTIF(Setup!$E$8:$E$13,D883)&gt;0,"Income","Expense"))</f>
        <v/>
      </c>
      <c r="F883" s="26" t="n"/>
      <c r="G883" s="25">
        <f>IF(B883="","",MONTH(B883))</f>
        <v/>
      </c>
    </row>
    <row r="884">
      <c r="B884" s="23" t="n"/>
      <c r="C884" s="24" t="n"/>
      <c r="D884" s="24" t="n"/>
      <c r="E884" s="25">
        <f>IF(D884="","",IF(COUNTIF(Setup!$E$8:$E$13,D884)&gt;0,"Income","Expense"))</f>
        <v/>
      </c>
      <c r="F884" s="26" t="n"/>
      <c r="G884" s="25">
        <f>IF(B884="","",MONTH(B884))</f>
        <v/>
      </c>
    </row>
    <row r="885">
      <c r="B885" s="23" t="n"/>
      <c r="C885" s="24" t="n"/>
      <c r="D885" s="24" t="n"/>
      <c r="E885" s="25">
        <f>IF(D885="","",IF(COUNTIF(Setup!$E$8:$E$13,D885)&gt;0,"Income","Expense"))</f>
        <v/>
      </c>
      <c r="F885" s="26" t="n"/>
      <c r="G885" s="25">
        <f>IF(B885="","",MONTH(B885))</f>
        <v/>
      </c>
    </row>
    <row r="886">
      <c r="B886" s="23" t="n"/>
      <c r="C886" s="24" t="n"/>
      <c r="D886" s="24" t="n"/>
      <c r="E886" s="25">
        <f>IF(D886="","",IF(COUNTIF(Setup!$E$8:$E$13,D886)&gt;0,"Income","Expense"))</f>
        <v/>
      </c>
      <c r="F886" s="26" t="n"/>
      <c r="G886" s="25">
        <f>IF(B886="","",MONTH(B886))</f>
        <v/>
      </c>
    </row>
    <row r="887">
      <c r="B887" s="23" t="n"/>
      <c r="C887" s="24" t="n"/>
      <c r="D887" s="24" t="n"/>
      <c r="E887" s="25">
        <f>IF(D887="","",IF(COUNTIF(Setup!$E$8:$E$13,D887)&gt;0,"Income","Expense"))</f>
        <v/>
      </c>
      <c r="F887" s="26" t="n"/>
      <c r="G887" s="25">
        <f>IF(B887="","",MONTH(B887))</f>
        <v/>
      </c>
    </row>
    <row r="888">
      <c r="B888" s="23" t="n"/>
      <c r="C888" s="24" t="n"/>
      <c r="D888" s="24" t="n"/>
      <c r="E888" s="25">
        <f>IF(D888="","",IF(COUNTIF(Setup!$E$8:$E$13,D888)&gt;0,"Income","Expense"))</f>
        <v/>
      </c>
      <c r="F888" s="26" t="n"/>
      <c r="G888" s="25">
        <f>IF(B888="","",MONTH(B888))</f>
        <v/>
      </c>
    </row>
    <row r="889">
      <c r="B889" s="23" t="n"/>
      <c r="C889" s="24" t="n"/>
      <c r="D889" s="24" t="n"/>
      <c r="E889" s="25">
        <f>IF(D889="","",IF(COUNTIF(Setup!$E$8:$E$13,D889)&gt;0,"Income","Expense"))</f>
        <v/>
      </c>
      <c r="F889" s="26" t="n"/>
      <c r="G889" s="25">
        <f>IF(B889="","",MONTH(B889))</f>
        <v/>
      </c>
    </row>
    <row r="890">
      <c r="B890" s="23" t="n"/>
      <c r="C890" s="24" t="n"/>
      <c r="D890" s="24" t="n"/>
      <c r="E890" s="25">
        <f>IF(D890="","",IF(COUNTIF(Setup!$E$8:$E$13,D890)&gt;0,"Income","Expense"))</f>
        <v/>
      </c>
      <c r="F890" s="26" t="n"/>
      <c r="G890" s="25">
        <f>IF(B890="","",MONTH(B890))</f>
        <v/>
      </c>
    </row>
    <row r="891">
      <c r="B891" s="23" t="n"/>
      <c r="C891" s="24" t="n"/>
      <c r="D891" s="24" t="n"/>
      <c r="E891" s="25">
        <f>IF(D891="","",IF(COUNTIF(Setup!$E$8:$E$13,D891)&gt;0,"Income","Expense"))</f>
        <v/>
      </c>
      <c r="F891" s="26" t="n"/>
      <c r="G891" s="25">
        <f>IF(B891="","",MONTH(B891))</f>
        <v/>
      </c>
    </row>
    <row r="892">
      <c r="B892" s="23" t="n"/>
      <c r="C892" s="24" t="n"/>
      <c r="D892" s="24" t="n"/>
      <c r="E892" s="25">
        <f>IF(D892="","",IF(COUNTIF(Setup!$E$8:$E$13,D892)&gt;0,"Income","Expense"))</f>
        <v/>
      </c>
      <c r="F892" s="26" t="n"/>
      <c r="G892" s="25">
        <f>IF(B892="","",MONTH(B892))</f>
        <v/>
      </c>
    </row>
    <row r="893">
      <c r="B893" s="23" t="n"/>
      <c r="C893" s="24" t="n"/>
      <c r="D893" s="24" t="n"/>
      <c r="E893" s="25">
        <f>IF(D893="","",IF(COUNTIF(Setup!$E$8:$E$13,D893)&gt;0,"Income","Expense"))</f>
        <v/>
      </c>
      <c r="F893" s="26" t="n"/>
      <c r="G893" s="25">
        <f>IF(B893="","",MONTH(B893))</f>
        <v/>
      </c>
    </row>
    <row r="894">
      <c r="B894" s="23" t="n"/>
      <c r="C894" s="24" t="n"/>
      <c r="D894" s="24" t="n"/>
      <c r="E894" s="25">
        <f>IF(D894="","",IF(COUNTIF(Setup!$E$8:$E$13,D894)&gt;0,"Income","Expense"))</f>
        <v/>
      </c>
      <c r="F894" s="26" t="n"/>
      <c r="G894" s="25">
        <f>IF(B894="","",MONTH(B894))</f>
        <v/>
      </c>
    </row>
    <row r="895">
      <c r="B895" s="23" t="n"/>
      <c r="C895" s="24" t="n"/>
      <c r="D895" s="24" t="n"/>
      <c r="E895" s="25">
        <f>IF(D895="","",IF(COUNTIF(Setup!$E$8:$E$13,D895)&gt;0,"Income","Expense"))</f>
        <v/>
      </c>
      <c r="F895" s="26" t="n"/>
      <c r="G895" s="25">
        <f>IF(B895="","",MONTH(B895))</f>
        <v/>
      </c>
    </row>
    <row r="896">
      <c r="B896" s="23" t="n"/>
      <c r="C896" s="24" t="n"/>
      <c r="D896" s="24" t="n"/>
      <c r="E896" s="25">
        <f>IF(D896="","",IF(COUNTIF(Setup!$E$8:$E$13,D896)&gt;0,"Income","Expense"))</f>
        <v/>
      </c>
      <c r="F896" s="26" t="n"/>
      <c r="G896" s="25">
        <f>IF(B896="","",MONTH(B896))</f>
        <v/>
      </c>
    </row>
    <row r="897">
      <c r="B897" s="23" t="n"/>
      <c r="C897" s="24" t="n"/>
      <c r="D897" s="24" t="n"/>
      <c r="E897" s="25">
        <f>IF(D897="","",IF(COUNTIF(Setup!$E$8:$E$13,D897)&gt;0,"Income","Expense"))</f>
        <v/>
      </c>
      <c r="F897" s="26" t="n"/>
      <c r="G897" s="25">
        <f>IF(B897="","",MONTH(B897))</f>
        <v/>
      </c>
    </row>
    <row r="898">
      <c r="B898" s="23" t="n"/>
      <c r="C898" s="24" t="n"/>
      <c r="D898" s="24" t="n"/>
      <c r="E898" s="25">
        <f>IF(D898="","",IF(COUNTIF(Setup!$E$8:$E$13,D898)&gt;0,"Income","Expense"))</f>
        <v/>
      </c>
      <c r="F898" s="26" t="n"/>
      <c r="G898" s="25">
        <f>IF(B898="","",MONTH(B898))</f>
        <v/>
      </c>
    </row>
    <row r="899">
      <c r="B899" s="23" t="n"/>
      <c r="C899" s="24" t="n"/>
      <c r="D899" s="24" t="n"/>
      <c r="E899" s="25">
        <f>IF(D899="","",IF(COUNTIF(Setup!$E$8:$E$13,D899)&gt;0,"Income","Expense"))</f>
        <v/>
      </c>
      <c r="F899" s="26" t="n"/>
      <c r="G899" s="25">
        <f>IF(B899="","",MONTH(B899))</f>
        <v/>
      </c>
    </row>
    <row r="900">
      <c r="B900" s="23" t="n"/>
      <c r="C900" s="24" t="n"/>
      <c r="D900" s="24" t="n"/>
      <c r="E900" s="25">
        <f>IF(D900="","",IF(COUNTIF(Setup!$E$8:$E$13,D900)&gt;0,"Income","Expense"))</f>
        <v/>
      </c>
      <c r="F900" s="26" t="n"/>
      <c r="G900" s="25">
        <f>IF(B900="","",MONTH(B900))</f>
        <v/>
      </c>
    </row>
    <row r="901">
      <c r="B901" s="23" t="n"/>
      <c r="C901" s="24" t="n"/>
      <c r="D901" s="24" t="n"/>
      <c r="E901" s="25">
        <f>IF(D901="","",IF(COUNTIF(Setup!$E$8:$E$13,D901)&gt;0,"Income","Expense"))</f>
        <v/>
      </c>
      <c r="F901" s="26" t="n"/>
      <c r="G901" s="25">
        <f>IF(B901="","",MONTH(B901))</f>
        <v/>
      </c>
    </row>
    <row r="902">
      <c r="B902" s="23" t="n"/>
      <c r="C902" s="24" t="n"/>
      <c r="D902" s="24" t="n"/>
      <c r="E902" s="25">
        <f>IF(D902="","",IF(COUNTIF(Setup!$E$8:$E$13,D902)&gt;0,"Income","Expense"))</f>
        <v/>
      </c>
      <c r="F902" s="26" t="n"/>
      <c r="G902" s="25">
        <f>IF(B902="","",MONTH(B902))</f>
        <v/>
      </c>
    </row>
    <row r="903">
      <c r="B903" s="23" t="n"/>
      <c r="C903" s="24" t="n"/>
      <c r="D903" s="24" t="n"/>
      <c r="E903" s="25">
        <f>IF(D903="","",IF(COUNTIF(Setup!$E$8:$E$13,D903)&gt;0,"Income","Expense"))</f>
        <v/>
      </c>
      <c r="F903" s="26" t="n"/>
      <c r="G903" s="25">
        <f>IF(B903="","",MONTH(B903))</f>
        <v/>
      </c>
    </row>
    <row r="904">
      <c r="B904" s="23" t="n"/>
      <c r="C904" s="24" t="n"/>
      <c r="D904" s="24" t="n"/>
      <c r="E904" s="25">
        <f>IF(D904="","",IF(COUNTIF(Setup!$E$8:$E$13,D904)&gt;0,"Income","Expense"))</f>
        <v/>
      </c>
      <c r="F904" s="26" t="n"/>
      <c r="G904" s="25">
        <f>IF(B904="","",MONTH(B904))</f>
        <v/>
      </c>
    </row>
    <row r="905">
      <c r="B905" s="23" t="n"/>
      <c r="C905" s="24" t="n"/>
      <c r="D905" s="24" t="n"/>
      <c r="E905" s="25">
        <f>IF(D905="","",IF(COUNTIF(Setup!$E$8:$E$13,D905)&gt;0,"Income","Expense"))</f>
        <v/>
      </c>
      <c r="F905" s="26" t="n"/>
      <c r="G905" s="25">
        <f>IF(B905="","",MONTH(B905))</f>
        <v/>
      </c>
    </row>
    <row r="906">
      <c r="B906" s="23" t="n"/>
      <c r="C906" s="24" t="n"/>
      <c r="D906" s="24" t="n"/>
      <c r="E906" s="25">
        <f>IF(D906="","",IF(COUNTIF(Setup!$E$8:$E$13,D906)&gt;0,"Income","Expense"))</f>
        <v/>
      </c>
      <c r="F906" s="26" t="n"/>
      <c r="G906" s="25">
        <f>IF(B906="","",MONTH(B906))</f>
        <v/>
      </c>
    </row>
    <row r="907">
      <c r="B907" s="23" t="n"/>
      <c r="C907" s="24" t="n"/>
      <c r="D907" s="24" t="n"/>
      <c r="E907" s="25">
        <f>IF(D907="","",IF(COUNTIF(Setup!$E$8:$E$13,D907)&gt;0,"Income","Expense"))</f>
        <v/>
      </c>
      <c r="F907" s="26" t="n"/>
      <c r="G907" s="25">
        <f>IF(B907="","",MONTH(B907))</f>
        <v/>
      </c>
    </row>
    <row r="908">
      <c r="B908" s="23" t="n"/>
      <c r="C908" s="24" t="n"/>
      <c r="D908" s="24" t="n"/>
      <c r="E908" s="25">
        <f>IF(D908="","",IF(COUNTIF(Setup!$E$8:$E$13,D908)&gt;0,"Income","Expense"))</f>
        <v/>
      </c>
      <c r="F908" s="26" t="n"/>
      <c r="G908" s="25">
        <f>IF(B908="","",MONTH(B908))</f>
        <v/>
      </c>
    </row>
    <row r="909">
      <c r="B909" s="23" t="n"/>
      <c r="C909" s="24" t="n"/>
      <c r="D909" s="24" t="n"/>
      <c r="E909" s="25">
        <f>IF(D909="","",IF(COUNTIF(Setup!$E$8:$E$13,D909)&gt;0,"Income","Expense"))</f>
        <v/>
      </c>
      <c r="F909" s="26" t="n"/>
      <c r="G909" s="25">
        <f>IF(B909="","",MONTH(B909))</f>
        <v/>
      </c>
    </row>
    <row r="910">
      <c r="B910" s="23" t="n"/>
      <c r="C910" s="24" t="n"/>
      <c r="D910" s="24" t="n"/>
      <c r="E910" s="25">
        <f>IF(D910="","",IF(COUNTIF(Setup!$E$8:$E$13,D910)&gt;0,"Income","Expense"))</f>
        <v/>
      </c>
      <c r="F910" s="26" t="n"/>
      <c r="G910" s="25">
        <f>IF(B910="","",MONTH(B910))</f>
        <v/>
      </c>
    </row>
    <row r="911">
      <c r="B911" s="23" t="n"/>
      <c r="C911" s="24" t="n"/>
      <c r="D911" s="24" t="n"/>
      <c r="E911" s="25">
        <f>IF(D911="","",IF(COUNTIF(Setup!$E$8:$E$13,D911)&gt;0,"Income","Expense"))</f>
        <v/>
      </c>
      <c r="F911" s="26" t="n"/>
      <c r="G911" s="25">
        <f>IF(B911="","",MONTH(B911))</f>
        <v/>
      </c>
    </row>
    <row r="912">
      <c r="B912" s="23" t="n"/>
      <c r="C912" s="24" t="n"/>
      <c r="D912" s="24" t="n"/>
      <c r="E912" s="25">
        <f>IF(D912="","",IF(COUNTIF(Setup!$E$8:$E$13,D912)&gt;0,"Income","Expense"))</f>
        <v/>
      </c>
      <c r="F912" s="26" t="n"/>
      <c r="G912" s="25">
        <f>IF(B912="","",MONTH(B912))</f>
        <v/>
      </c>
    </row>
    <row r="913">
      <c r="B913" s="23" t="n"/>
      <c r="C913" s="24" t="n"/>
      <c r="D913" s="24" t="n"/>
      <c r="E913" s="25">
        <f>IF(D913="","",IF(COUNTIF(Setup!$E$8:$E$13,D913)&gt;0,"Income","Expense"))</f>
        <v/>
      </c>
      <c r="F913" s="26" t="n"/>
      <c r="G913" s="25">
        <f>IF(B913="","",MONTH(B913))</f>
        <v/>
      </c>
    </row>
    <row r="914">
      <c r="B914" s="23" t="n"/>
      <c r="C914" s="24" t="n"/>
      <c r="D914" s="24" t="n"/>
      <c r="E914" s="25">
        <f>IF(D914="","",IF(COUNTIF(Setup!$E$8:$E$13,D914)&gt;0,"Income","Expense"))</f>
        <v/>
      </c>
      <c r="F914" s="26" t="n"/>
      <c r="G914" s="25">
        <f>IF(B914="","",MONTH(B914))</f>
        <v/>
      </c>
    </row>
    <row r="915">
      <c r="B915" s="23" t="n"/>
      <c r="C915" s="24" t="n"/>
      <c r="D915" s="24" t="n"/>
      <c r="E915" s="25">
        <f>IF(D915="","",IF(COUNTIF(Setup!$E$8:$E$13,D915)&gt;0,"Income","Expense"))</f>
        <v/>
      </c>
      <c r="F915" s="26" t="n"/>
      <c r="G915" s="25">
        <f>IF(B915="","",MONTH(B915))</f>
        <v/>
      </c>
    </row>
    <row r="916">
      <c r="B916" s="23" t="n"/>
      <c r="C916" s="24" t="n"/>
      <c r="D916" s="24" t="n"/>
      <c r="E916" s="25">
        <f>IF(D916="","",IF(COUNTIF(Setup!$E$8:$E$13,D916)&gt;0,"Income","Expense"))</f>
        <v/>
      </c>
      <c r="F916" s="26" t="n"/>
      <c r="G916" s="25">
        <f>IF(B916="","",MONTH(B916))</f>
        <v/>
      </c>
    </row>
    <row r="917">
      <c r="B917" s="23" t="n"/>
      <c r="C917" s="24" t="n"/>
      <c r="D917" s="24" t="n"/>
      <c r="E917" s="25">
        <f>IF(D917="","",IF(COUNTIF(Setup!$E$8:$E$13,D917)&gt;0,"Income","Expense"))</f>
        <v/>
      </c>
      <c r="F917" s="26" t="n"/>
      <c r="G917" s="25">
        <f>IF(B917="","",MONTH(B917))</f>
        <v/>
      </c>
    </row>
    <row r="918">
      <c r="B918" s="23" t="n"/>
      <c r="C918" s="24" t="n"/>
      <c r="D918" s="24" t="n"/>
      <c r="E918" s="25">
        <f>IF(D918="","",IF(COUNTIF(Setup!$E$8:$E$13,D918)&gt;0,"Income","Expense"))</f>
        <v/>
      </c>
      <c r="F918" s="26" t="n"/>
      <c r="G918" s="25">
        <f>IF(B918="","",MONTH(B918))</f>
        <v/>
      </c>
    </row>
    <row r="919">
      <c r="B919" s="23" t="n"/>
      <c r="C919" s="24" t="n"/>
      <c r="D919" s="24" t="n"/>
      <c r="E919" s="25">
        <f>IF(D919="","",IF(COUNTIF(Setup!$E$8:$E$13,D919)&gt;0,"Income","Expense"))</f>
        <v/>
      </c>
      <c r="F919" s="26" t="n"/>
      <c r="G919" s="25">
        <f>IF(B919="","",MONTH(B919))</f>
        <v/>
      </c>
    </row>
    <row r="920">
      <c r="B920" s="23" t="n"/>
      <c r="C920" s="24" t="n"/>
      <c r="D920" s="24" t="n"/>
      <c r="E920" s="25">
        <f>IF(D920="","",IF(COUNTIF(Setup!$E$8:$E$13,D920)&gt;0,"Income","Expense"))</f>
        <v/>
      </c>
      <c r="F920" s="26" t="n"/>
      <c r="G920" s="25">
        <f>IF(B920="","",MONTH(B920))</f>
        <v/>
      </c>
    </row>
    <row r="921">
      <c r="B921" s="23" t="n"/>
      <c r="C921" s="24" t="n"/>
      <c r="D921" s="24" t="n"/>
      <c r="E921" s="25">
        <f>IF(D921="","",IF(COUNTIF(Setup!$E$8:$E$13,D921)&gt;0,"Income","Expense"))</f>
        <v/>
      </c>
      <c r="F921" s="26" t="n"/>
      <c r="G921" s="25">
        <f>IF(B921="","",MONTH(B921))</f>
        <v/>
      </c>
    </row>
    <row r="922">
      <c r="B922" s="23" t="n"/>
      <c r="C922" s="24" t="n"/>
      <c r="D922" s="24" t="n"/>
      <c r="E922" s="25">
        <f>IF(D922="","",IF(COUNTIF(Setup!$E$8:$E$13,D922)&gt;0,"Income","Expense"))</f>
        <v/>
      </c>
      <c r="F922" s="26" t="n"/>
      <c r="G922" s="25">
        <f>IF(B922="","",MONTH(B922))</f>
        <v/>
      </c>
    </row>
    <row r="923">
      <c r="B923" s="23" t="n"/>
      <c r="C923" s="24" t="n"/>
      <c r="D923" s="24" t="n"/>
      <c r="E923" s="25">
        <f>IF(D923="","",IF(COUNTIF(Setup!$E$8:$E$13,D923)&gt;0,"Income","Expense"))</f>
        <v/>
      </c>
      <c r="F923" s="26" t="n"/>
      <c r="G923" s="25">
        <f>IF(B923="","",MONTH(B923))</f>
        <v/>
      </c>
    </row>
    <row r="924">
      <c r="B924" s="23" t="n"/>
      <c r="C924" s="24" t="n"/>
      <c r="D924" s="24" t="n"/>
      <c r="E924" s="25">
        <f>IF(D924="","",IF(COUNTIF(Setup!$E$8:$E$13,D924)&gt;0,"Income","Expense"))</f>
        <v/>
      </c>
      <c r="F924" s="26" t="n"/>
      <c r="G924" s="25">
        <f>IF(B924="","",MONTH(B924))</f>
        <v/>
      </c>
    </row>
    <row r="925">
      <c r="B925" s="23" t="n"/>
      <c r="C925" s="24" t="n"/>
      <c r="D925" s="24" t="n"/>
      <c r="E925" s="25">
        <f>IF(D925="","",IF(COUNTIF(Setup!$E$8:$E$13,D925)&gt;0,"Income","Expense"))</f>
        <v/>
      </c>
      <c r="F925" s="26" t="n"/>
      <c r="G925" s="25">
        <f>IF(B925="","",MONTH(B925))</f>
        <v/>
      </c>
    </row>
    <row r="926">
      <c r="B926" s="23" t="n"/>
      <c r="C926" s="24" t="n"/>
      <c r="D926" s="24" t="n"/>
      <c r="E926" s="25">
        <f>IF(D926="","",IF(COUNTIF(Setup!$E$8:$E$13,D926)&gt;0,"Income","Expense"))</f>
        <v/>
      </c>
      <c r="F926" s="26" t="n"/>
      <c r="G926" s="25">
        <f>IF(B926="","",MONTH(B926))</f>
        <v/>
      </c>
    </row>
    <row r="927">
      <c r="B927" s="23" t="n"/>
      <c r="C927" s="24" t="n"/>
      <c r="D927" s="24" t="n"/>
      <c r="E927" s="25">
        <f>IF(D927="","",IF(COUNTIF(Setup!$E$8:$E$13,D927)&gt;0,"Income","Expense"))</f>
        <v/>
      </c>
      <c r="F927" s="26" t="n"/>
      <c r="G927" s="25">
        <f>IF(B927="","",MONTH(B927))</f>
        <v/>
      </c>
    </row>
    <row r="928">
      <c r="B928" s="23" t="n"/>
      <c r="C928" s="24" t="n"/>
      <c r="D928" s="24" t="n"/>
      <c r="E928" s="25">
        <f>IF(D928="","",IF(COUNTIF(Setup!$E$8:$E$13,D928)&gt;0,"Income","Expense"))</f>
        <v/>
      </c>
      <c r="F928" s="26" t="n"/>
      <c r="G928" s="25">
        <f>IF(B928="","",MONTH(B928))</f>
        <v/>
      </c>
    </row>
    <row r="929">
      <c r="B929" s="23" t="n"/>
      <c r="C929" s="24" t="n"/>
      <c r="D929" s="24" t="n"/>
      <c r="E929" s="25">
        <f>IF(D929="","",IF(COUNTIF(Setup!$E$8:$E$13,D929)&gt;0,"Income","Expense"))</f>
        <v/>
      </c>
      <c r="F929" s="26" t="n"/>
      <c r="G929" s="25">
        <f>IF(B929="","",MONTH(B929))</f>
        <v/>
      </c>
    </row>
    <row r="930">
      <c r="B930" s="23" t="n"/>
      <c r="C930" s="24" t="n"/>
      <c r="D930" s="24" t="n"/>
      <c r="E930" s="25">
        <f>IF(D930="","",IF(COUNTIF(Setup!$E$8:$E$13,D930)&gt;0,"Income","Expense"))</f>
        <v/>
      </c>
      <c r="F930" s="26" t="n"/>
      <c r="G930" s="25">
        <f>IF(B930="","",MONTH(B930))</f>
        <v/>
      </c>
    </row>
    <row r="931">
      <c r="B931" s="23" t="n"/>
      <c r="C931" s="24" t="n"/>
      <c r="D931" s="24" t="n"/>
      <c r="E931" s="25">
        <f>IF(D931="","",IF(COUNTIF(Setup!$E$8:$E$13,D931)&gt;0,"Income","Expense"))</f>
        <v/>
      </c>
      <c r="F931" s="26" t="n"/>
      <c r="G931" s="25">
        <f>IF(B931="","",MONTH(B931))</f>
        <v/>
      </c>
    </row>
    <row r="932">
      <c r="B932" s="23" t="n"/>
      <c r="C932" s="24" t="n"/>
      <c r="D932" s="24" t="n"/>
      <c r="E932" s="25">
        <f>IF(D932="","",IF(COUNTIF(Setup!$E$8:$E$13,D932)&gt;0,"Income","Expense"))</f>
        <v/>
      </c>
      <c r="F932" s="26" t="n"/>
      <c r="G932" s="25">
        <f>IF(B932="","",MONTH(B932))</f>
        <v/>
      </c>
    </row>
    <row r="933">
      <c r="B933" s="23" t="n"/>
      <c r="C933" s="24" t="n"/>
      <c r="D933" s="24" t="n"/>
      <c r="E933" s="25">
        <f>IF(D933="","",IF(COUNTIF(Setup!$E$8:$E$13,D933)&gt;0,"Income","Expense"))</f>
        <v/>
      </c>
      <c r="F933" s="26" t="n"/>
      <c r="G933" s="25">
        <f>IF(B933="","",MONTH(B933))</f>
        <v/>
      </c>
    </row>
    <row r="934">
      <c r="B934" s="23" t="n"/>
      <c r="C934" s="24" t="n"/>
      <c r="D934" s="24" t="n"/>
      <c r="E934" s="25">
        <f>IF(D934="","",IF(COUNTIF(Setup!$E$8:$E$13,D934)&gt;0,"Income","Expense"))</f>
        <v/>
      </c>
      <c r="F934" s="26" t="n"/>
      <c r="G934" s="25">
        <f>IF(B934="","",MONTH(B934))</f>
        <v/>
      </c>
    </row>
    <row r="935">
      <c r="B935" s="23" t="n"/>
      <c r="C935" s="24" t="n"/>
      <c r="D935" s="24" t="n"/>
      <c r="E935" s="25">
        <f>IF(D935="","",IF(COUNTIF(Setup!$E$8:$E$13,D935)&gt;0,"Income","Expense"))</f>
        <v/>
      </c>
      <c r="F935" s="26" t="n"/>
      <c r="G935" s="25">
        <f>IF(B935="","",MONTH(B935))</f>
        <v/>
      </c>
    </row>
    <row r="936">
      <c r="B936" s="23" t="n"/>
      <c r="C936" s="24" t="n"/>
      <c r="D936" s="24" t="n"/>
      <c r="E936" s="25">
        <f>IF(D936="","",IF(COUNTIF(Setup!$E$8:$E$13,D936)&gt;0,"Income","Expense"))</f>
        <v/>
      </c>
      <c r="F936" s="26" t="n"/>
      <c r="G936" s="25">
        <f>IF(B936="","",MONTH(B936))</f>
        <v/>
      </c>
    </row>
    <row r="937">
      <c r="B937" s="23" t="n"/>
      <c r="C937" s="24" t="n"/>
      <c r="D937" s="24" t="n"/>
      <c r="E937" s="25">
        <f>IF(D937="","",IF(COUNTIF(Setup!$E$8:$E$13,D937)&gt;0,"Income","Expense"))</f>
        <v/>
      </c>
      <c r="F937" s="26" t="n"/>
      <c r="G937" s="25">
        <f>IF(B937="","",MONTH(B937))</f>
        <v/>
      </c>
    </row>
    <row r="938">
      <c r="B938" s="23" t="n"/>
      <c r="C938" s="24" t="n"/>
      <c r="D938" s="24" t="n"/>
      <c r="E938" s="25">
        <f>IF(D938="","",IF(COUNTIF(Setup!$E$8:$E$13,D938)&gt;0,"Income","Expense"))</f>
        <v/>
      </c>
      <c r="F938" s="26" t="n"/>
      <c r="G938" s="25">
        <f>IF(B938="","",MONTH(B938))</f>
        <v/>
      </c>
    </row>
    <row r="939">
      <c r="B939" s="23" t="n"/>
      <c r="C939" s="24" t="n"/>
      <c r="D939" s="24" t="n"/>
      <c r="E939" s="25">
        <f>IF(D939="","",IF(COUNTIF(Setup!$E$8:$E$13,D939)&gt;0,"Income","Expense"))</f>
        <v/>
      </c>
      <c r="F939" s="26" t="n"/>
      <c r="G939" s="25">
        <f>IF(B939="","",MONTH(B939))</f>
        <v/>
      </c>
    </row>
    <row r="940">
      <c r="B940" s="23" t="n"/>
      <c r="C940" s="24" t="n"/>
      <c r="D940" s="24" t="n"/>
      <c r="E940" s="25">
        <f>IF(D940="","",IF(COUNTIF(Setup!$E$8:$E$13,D940)&gt;0,"Income","Expense"))</f>
        <v/>
      </c>
      <c r="F940" s="26" t="n"/>
      <c r="G940" s="25">
        <f>IF(B940="","",MONTH(B940))</f>
        <v/>
      </c>
    </row>
    <row r="941">
      <c r="B941" s="23" t="n"/>
      <c r="C941" s="24" t="n"/>
      <c r="D941" s="24" t="n"/>
      <c r="E941" s="25">
        <f>IF(D941="","",IF(COUNTIF(Setup!$E$8:$E$13,D941)&gt;0,"Income","Expense"))</f>
        <v/>
      </c>
      <c r="F941" s="26" t="n"/>
      <c r="G941" s="25">
        <f>IF(B941="","",MONTH(B941))</f>
        <v/>
      </c>
    </row>
    <row r="942">
      <c r="B942" s="23" t="n"/>
      <c r="C942" s="24" t="n"/>
      <c r="D942" s="24" t="n"/>
      <c r="E942" s="25">
        <f>IF(D942="","",IF(COUNTIF(Setup!$E$8:$E$13,D942)&gt;0,"Income","Expense"))</f>
        <v/>
      </c>
      <c r="F942" s="26" t="n"/>
      <c r="G942" s="25">
        <f>IF(B942="","",MONTH(B942))</f>
        <v/>
      </c>
    </row>
    <row r="943">
      <c r="B943" s="23" t="n"/>
      <c r="C943" s="24" t="n"/>
      <c r="D943" s="24" t="n"/>
      <c r="E943" s="25">
        <f>IF(D943="","",IF(COUNTIF(Setup!$E$8:$E$13,D943)&gt;0,"Income","Expense"))</f>
        <v/>
      </c>
      <c r="F943" s="26" t="n"/>
      <c r="G943" s="25">
        <f>IF(B943="","",MONTH(B943))</f>
        <v/>
      </c>
    </row>
    <row r="944">
      <c r="B944" s="23" t="n"/>
      <c r="C944" s="24" t="n"/>
      <c r="D944" s="24" t="n"/>
      <c r="E944" s="25">
        <f>IF(D944="","",IF(COUNTIF(Setup!$E$8:$E$13,D944)&gt;0,"Income","Expense"))</f>
        <v/>
      </c>
      <c r="F944" s="26" t="n"/>
      <c r="G944" s="25">
        <f>IF(B944="","",MONTH(B944))</f>
        <v/>
      </c>
    </row>
    <row r="945">
      <c r="B945" s="23" t="n"/>
      <c r="C945" s="24" t="n"/>
      <c r="D945" s="24" t="n"/>
      <c r="E945" s="25">
        <f>IF(D945="","",IF(COUNTIF(Setup!$E$8:$E$13,D945)&gt;0,"Income","Expense"))</f>
        <v/>
      </c>
      <c r="F945" s="26" t="n"/>
      <c r="G945" s="25">
        <f>IF(B945="","",MONTH(B945))</f>
        <v/>
      </c>
    </row>
    <row r="946">
      <c r="B946" s="23" t="n"/>
      <c r="C946" s="24" t="n"/>
      <c r="D946" s="24" t="n"/>
      <c r="E946" s="25">
        <f>IF(D946="","",IF(COUNTIF(Setup!$E$8:$E$13,D946)&gt;0,"Income","Expense"))</f>
        <v/>
      </c>
      <c r="F946" s="26" t="n"/>
      <c r="G946" s="25">
        <f>IF(B946="","",MONTH(B946))</f>
        <v/>
      </c>
    </row>
    <row r="947">
      <c r="B947" s="23" t="n"/>
      <c r="C947" s="24" t="n"/>
      <c r="D947" s="24" t="n"/>
      <c r="E947" s="25">
        <f>IF(D947="","",IF(COUNTIF(Setup!$E$8:$E$13,D947)&gt;0,"Income","Expense"))</f>
        <v/>
      </c>
      <c r="F947" s="26" t="n"/>
      <c r="G947" s="25">
        <f>IF(B947="","",MONTH(B947))</f>
        <v/>
      </c>
    </row>
    <row r="948">
      <c r="B948" s="23" t="n"/>
      <c r="C948" s="24" t="n"/>
      <c r="D948" s="24" t="n"/>
      <c r="E948" s="25">
        <f>IF(D948="","",IF(COUNTIF(Setup!$E$8:$E$13,D948)&gt;0,"Income","Expense"))</f>
        <v/>
      </c>
      <c r="F948" s="26" t="n"/>
      <c r="G948" s="25">
        <f>IF(B948="","",MONTH(B948))</f>
        <v/>
      </c>
    </row>
    <row r="949">
      <c r="B949" s="23" t="n"/>
      <c r="C949" s="24" t="n"/>
      <c r="D949" s="24" t="n"/>
      <c r="E949" s="25">
        <f>IF(D949="","",IF(COUNTIF(Setup!$E$8:$E$13,D949)&gt;0,"Income","Expense"))</f>
        <v/>
      </c>
      <c r="F949" s="26" t="n"/>
      <c r="G949" s="25">
        <f>IF(B949="","",MONTH(B949))</f>
        <v/>
      </c>
    </row>
    <row r="950">
      <c r="B950" s="23" t="n"/>
      <c r="C950" s="24" t="n"/>
      <c r="D950" s="24" t="n"/>
      <c r="E950" s="25">
        <f>IF(D950="","",IF(COUNTIF(Setup!$E$8:$E$13,D950)&gt;0,"Income","Expense"))</f>
        <v/>
      </c>
      <c r="F950" s="26" t="n"/>
      <c r="G950" s="25">
        <f>IF(B950="","",MONTH(B950))</f>
        <v/>
      </c>
    </row>
    <row r="951">
      <c r="B951" s="23" t="n"/>
      <c r="C951" s="24" t="n"/>
      <c r="D951" s="24" t="n"/>
      <c r="E951" s="25">
        <f>IF(D951="","",IF(COUNTIF(Setup!$E$8:$E$13,D951)&gt;0,"Income","Expense"))</f>
        <v/>
      </c>
      <c r="F951" s="26" t="n"/>
      <c r="G951" s="25">
        <f>IF(B951="","",MONTH(B951))</f>
        <v/>
      </c>
    </row>
    <row r="952">
      <c r="B952" s="23" t="n"/>
      <c r="C952" s="24" t="n"/>
      <c r="D952" s="24" t="n"/>
      <c r="E952" s="25">
        <f>IF(D952="","",IF(COUNTIF(Setup!$E$8:$E$13,D952)&gt;0,"Income","Expense"))</f>
        <v/>
      </c>
      <c r="F952" s="26" t="n"/>
      <c r="G952" s="25">
        <f>IF(B952="","",MONTH(B952))</f>
        <v/>
      </c>
    </row>
    <row r="953">
      <c r="B953" s="23" t="n"/>
      <c r="C953" s="24" t="n"/>
      <c r="D953" s="24" t="n"/>
      <c r="E953" s="25">
        <f>IF(D953="","",IF(COUNTIF(Setup!$E$8:$E$13,D953)&gt;0,"Income","Expense"))</f>
        <v/>
      </c>
      <c r="F953" s="26" t="n"/>
      <c r="G953" s="25">
        <f>IF(B953="","",MONTH(B953))</f>
        <v/>
      </c>
    </row>
    <row r="954">
      <c r="B954" s="23" t="n"/>
      <c r="C954" s="24" t="n"/>
      <c r="D954" s="24" t="n"/>
      <c r="E954" s="25">
        <f>IF(D954="","",IF(COUNTIF(Setup!$E$8:$E$13,D954)&gt;0,"Income","Expense"))</f>
        <v/>
      </c>
      <c r="F954" s="26" t="n"/>
      <c r="G954" s="25">
        <f>IF(B954="","",MONTH(B954))</f>
        <v/>
      </c>
    </row>
    <row r="955">
      <c r="B955" s="23" t="n"/>
      <c r="C955" s="24" t="n"/>
      <c r="D955" s="24" t="n"/>
      <c r="E955" s="25">
        <f>IF(D955="","",IF(COUNTIF(Setup!$E$8:$E$13,D955)&gt;0,"Income","Expense"))</f>
        <v/>
      </c>
      <c r="F955" s="26" t="n"/>
      <c r="G955" s="25">
        <f>IF(B955="","",MONTH(B955))</f>
        <v/>
      </c>
    </row>
    <row r="956">
      <c r="B956" s="23" t="n"/>
      <c r="C956" s="24" t="n"/>
      <c r="D956" s="24" t="n"/>
      <c r="E956" s="25">
        <f>IF(D956="","",IF(COUNTIF(Setup!$E$8:$E$13,D956)&gt;0,"Income","Expense"))</f>
        <v/>
      </c>
      <c r="F956" s="26" t="n"/>
      <c r="G956" s="25">
        <f>IF(B956="","",MONTH(B956))</f>
        <v/>
      </c>
    </row>
    <row r="957">
      <c r="B957" s="23" t="n"/>
      <c r="C957" s="24" t="n"/>
      <c r="D957" s="24" t="n"/>
      <c r="E957" s="25">
        <f>IF(D957="","",IF(COUNTIF(Setup!$E$8:$E$13,D957)&gt;0,"Income","Expense"))</f>
        <v/>
      </c>
      <c r="F957" s="26" t="n"/>
      <c r="G957" s="25">
        <f>IF(B957="","",MONTH(B957))</f>
        <v/>
      </c>
    </row>
    <row r="958">
      <c r="B958" s="23" t="n"/>
      <c r="C958" s="24" t="n"/>
      <c r="D958" s="24" t="n"/>
      <c r="E958" s="25">
        <f>IF(D958="","",IF(COUNTIF(Setup!$E$8:$E$13,D958)&gt;0,"Income","Expense"))</f>
        <v/>
      </c>
      <c r="F958" s="26" t="n"/>
      <c r="G958" s="25">
        <f>IF(B958="","",MONTH(B958))</f>
        <v/>
      </c>
    </row>
    <row r="959">
      <c r="B959" s="23" t="n"/>
      <c r="C959" s="24" t="n"/>
      <c r="D959" s="24" t="n"/>
      <c r="E959" s="25">
        <f>IF(D959="","",IF(COUNTIF(Setup!$E$8:$E$13,D959)&gt;0,"Income","Expense"))</f>
        <v/>
      </c>
      <c r="F959" s="26" t="n"/>
      <c r="G959" s="25">
        <f>IF(B959="","",MONTH(B959))</f>
        <v/>
      </c>
    </row>
    <row r="960">
      <c r="B960" s="23" t="n"/>
      <c r="C960" s="24" t="n"/>
      <c r="D960" s="24" t="n"/>
      <c r="E960" s="25">
        <f>IF(D960="","",IF(COUNTIF(Setup!$E$8:$E$13,D960)&gt;0,"Income","Expense"))</f>
        <v/>
      </c>
      <c r="F960" s="26" t="n"/>
      <c r="G960" s="25">
        <f>IF(B960="","",MONTH(B960))</f>
        <v/>
      </c>
    </row>
    <row r="961">
      <c r="B961" s="23" t="n"/>
      <c r="C961" s="24" t="n"/>
      <c r="D961" s="24" t="n"/>
      <c r="E961" s="25">
        <f>IF(D961="","",IF(COUNTIF(Setup!$E$8:$E$13,D961)&gt;0,"Income","Expense"))</f>
        <v/>
      </c>
      <c r="F961" s="26" t="n"/>
      <c r="G961" s="25">
        <f>IF(B961="","",MONTH(B961))</f>
        <v/>
      </c>
    </row>
    <row r="962">
      <c r="B962" s="23" t="n"/>
      <c r="C962" s="24" t="n"/>
      <c r="D962" s="24" t="n"/>
      <c r="E962" s="25">
        <f>IF(D962="","",IF(COUNTIF(Setup!$E$8:$E$13,D962)&gt;0,"Income","Expense"))</f>
        <v/>
      </c>
      <c r="F962" s="26" t="n"/>
      <c r="G962" s="25">
        <f>IF(B962="","",MONTH(B962))</f>
        <v/>
      </c>
    </row>
    <row r="963">
      <c r="B963" s="23" t="n"/>
      <c r="C963" s="24" t="n"/>
      <c r="D963" s="24" t="n"/>
      <c r="E963" s="25">
        <f>IF(D963="","",IF(COUNTIF(Setup!$E$8:$E$13,D963)&gt;0,"Income","Expense"))</f>
        <v/>
      </c>
      <c r="F963" s="26" t="n"/>
      <c r="G963" s="25">
        <f>IF(B963="","",MONTH(B963))</f>
        <v/>
      </c>
    </row>
    <row r="964">
      <c r="B964" s="23" t="n"/>
      <c r="C964" s="24" t="n"/>
      <c r="D964" s="24" t="n"/>
      <c r="E964" s="25">
        <f>IF(D964="","",IF(COUNTIF(Setup!$E$8:$E$13,D964)&gt;0,"Income","Expense"))</f>
        <v/>
      </c>
      <c r="F964" s="26" t="n"/>
      <c r="G964" s="25">
        <f>IF(B964="","",MONTH(B964))</f>
        <v/>
      </c>
    </row>
    <row r="965">
      <c r="B965" s="23" t="n"/>
      <c r="C965" s="24" t="n"/>
      <c r="D965" s="24" t="n"/>
      <c r="E965" s="25">
        <f>IF(D965="","",IF(COUNTIF(Setup!$E$8:$E$13,D965)&gt;0,"Income","Expense"))</f>
        <v/>
      </c>
      <c r="F965" s="26" t="n"/>
      <c r="G965" s="25">
        <f>IF(B965="","",MONTH(B965))</f>
        <v/>
      </c>
    </row>
    <row r="966">
      <c r="B966" s="23" t="n"/>
      <c r="C966" s="24" t="n"/>
      <c r="D966" s="24" t="n"/>
      <c r="E966" s="25">
        <f>IF(D966="","",IF(COUNTIF(Setup!$E$8:$E$13,D966)&gt;0,"Income","Expense"))</f>
        <v/>
      </c>
      <c r="F966" s="26" t="n"/>
      <c r="G966" s="25">
        <f>IF(B966="","",MONTH(B966))</f>
        <v/>
      </c>
    </row>
    <row r="967">
      <c r="B967" s="23" t="n"/>
      <c r="C967" s="24" t="n"/>
      <c r="D967" s="24" t="n"/>
      <c r="E967" s="25">
        <f>IF(D967="","",IF(COUNTIF(Setup!$E$8:$E$13,D967)&gt;0,"Income","Expense"))</f>
        <v/>
      </c>
      <c r="F967" s="26" t="n"/>
      <c r="G967" s="25">
        <f>IF(B967="","",MONTH(B967))</f>
        <v/>
      </c>
    </row>
    <row r="968">
      <c r="B968" s="23" t="n"/>
      <c r="C968" s="24" t="n"/>
      <c r="D968" s="24" t="n"/>
      <c r="E968" s="25">
        <f>IF(D968="","",IF(COUNTIF(Setup!$E$8:$E$13,D968)&gt;0,"Income","Expense"))</f>
        <v/>
      </c>
      <c r="F968" s="26" t="n"/>
      <c r="G968" s="25">
        <f>IF(B968="","",MONTH(B968))</f>
        <v/>
      </c>
    </row>
    <row r="969">
      <c r="B969" s="23" t="n"/>
      <c r="C969" s="24" t="n"/>
      <c r="D969" s="24" t="n"/>
      <c r="E969" s="25">
        <f>IF(D969="","",IF(COUNTIF(Setup!$E$8:$E$13,D969)&gt;0,"Income","Expense"))</f>
        <v/>
      </c>
      <c r="F969" s="26" t="n"/>
      <c r="G969" s="25">
        <f>IF(B969="","",MONTH(B969))</f>
        <v/>
      </c>
    </row>
    <row r="970">
      <c r="B970" s="23" t="n"/>
      <c r="C970" s="24" t="n"/>
      <c r="D970" s="24" t="n"/>
      <c r="E970" s="25">
        <f>IF(D970="","",IF(COUNTIF(Setup!$E$8:$E$13,D970)&gt;0,"Income","Expense"))</f>
        <v/>
      </c>
      <c r="F970" s="26" t="n"/>
      <c r="G970" s="25">
        <f>IF(B970="","",MONTH(B970))</f>
        <v/>
      </c>
    </row>
    <row r="971">
      <c r="B971" s="23" t="n"/>
      <c r="C971" s="24" t="n"/>
      <c r="D971" s="24" t="n"/>
      <c r="E971" s="25">
        <f>IF(D971="","",IF(COUNTIF(Setup!$E$8:$E$13,D971)&gt;0,"Income","Expense"))</f>
        <v/>
      </c>
      <c r="F971" s="26" t="n"/>
      <c r="G971" s="25">
        <f>IF(B971="","",MONTH(B971))</f>
        <v/>
      </c>
    </row>
    <row r="972">
      <c r="B972" s="23" t="n"/>
      <c r="C972" s="24" t="n"/>
      <c r="D972" s="24" t="n"/>
      <c r="E972" s="25">
        <f>IF(D972="","",IF(COUNTIF(Setup!$E$8:$E$13,D972)&gt;0,"Income","Expense"))</f>
        <v/>
      </c>
      <c r="F972" s="26" t="n"/>
      <c r="G972" s="25">
        <f>IF(B972="","",MONTH(B972))</f>
        <v/>
      </c>
    </row>
    <row r="973">
      <c r="B973" s="23" t="n"/>
      <c r="C973" s="24" t="n"/>
      <c r="D973" s="24" t="n"/>
      <c r="E973" s="25">
        <f>IF(D973="","",IF(COUNTIF(Setup!$E$8:$E$13,D973)&gt;0,"Income","Expense"))</f>
        <v/>
      </c>
      <c r="F973" s="26" t="n"/>
      <c r="G973" s="25">
        <f>IF(B973="","",MONTH(B973))</f>
        <v/>
      </c>
    </row>
    <row r="974">
      <c r="B974" s="23" t="n"/>
      <c r="C974" s="24" t="n"/>
      <c r="D974" s="24" t="n"/>
      <c r="E974" s="25">
        <f>IF(D974="","",IF(COUNTIF(Setup!$E$8:$E$13,D974)&gt;0,"Income","Expense"))</f>
        <v/>
      </c>
      <c r="F974" s="26" t="n"/>
      <c r="G974" s="25">
        <f>IF(B974="","",MONTH(B974))</f>
        <v/>
      </c>
    </row>
    <row r="975">
      <c r="B975" s="23" t="n"/>
      <c r="C975" s="24" t="n"/>
      <c r="D975" s="24" t="n"/>
      <c r="E975" s="25">
        <f>IF(D975="","",IF(COUNTIF(Setup!$E$8:$E$13,D975)&gt;0,"Income","Expense"))</f>
        <v/>
      </c>
      <c r="F975" s="26" t="n"/>
      <c r="G975" s="25">
        <f>IF(B975="","",MONTH(B975))</f>
        <v/>
      </c>
    </row>
    <row r="976">
      <c r="B976" s="23" t="n"/>
      <c r="C976" s="24" t="n"/>
      <c r="D976" s="24" t="n"/>
      <c r="E976" s="25">
        <f>IF(D976="","",IF(COUNTIF(Setup!$E$8:$E$13,D976)&gt;0,"Income","Expense"))</f>
        <v/>
      </c>
      <c r="F976" s="26" t="n"/>
      <c r="G976" s="25">
        <f>IF(B976="","",MONTH(B976))</f>
        <v/>
      </c>
    </row>
    <row r="977">
      <c r="B977" s="23" t="n"/>
      <c r="C977" s="24" t="n"/>
      <c r="D977" s="24" t="n"/>
      <c r="E977" s="25">
        <f>IF(D977="","",IF(COUNTIF(Setup!$E$8:$E$13,D977)&gt;0,"Income","Expense"))</f>
        <v/>
      </c>
      <c r="F977" s="26" t="n"/>
      <c r="G977" s="25">
        <f>IF(B977="","",MONTH(B977))</f>
        <v/>
      </c>
    </row>
    <row r="978">
      <c r="B978" s="23" t="n"/>
      <c r="C978" s="24" t="n"/>
      <c r="D978" s="24" t="n"/>
      <c r="E978" s="25">
        <f>IF(D978="","",IF(COUNTIF(Setup!$E$8:$E$13,D978)&gt;0,"Income","Expense"))</f>
        <v/>
      </c>
      <c r="F978" s="26" t="n"/>
      <c r="G978" s="25">
        <f>IF(B978="","",MONTH(B978))</f>
        <v/>
      </c>
    </row>
    <row r="979">
      <c r="B979" s="23" t="n"/>
      <c r="C979" s="24" t="n"/>
      <c r="D979" s="24" t="n"/>
      <c r="E979" s="25">
        <f>IF(D979="","",IF(COUNTIF(Setup!$E$8:$E$13,D979)&gt;0,"Income","Expense"))</f>
        <v/>
      </c>
      <c r="F979" s="26" t="n"/>
      <c r="G979" s="25">
        <f>IF(B979="","",MONTH(B979))</f>
        <v/>
      </c>
    </row>
    <row r="980">
      <c r="B980" s="23" t="n"/>
      <c r="C980" s="24" t="n"/>
      <c r="D980" s="24" t="n"/>
      <c r="E980" s="25">
        <f>IF(D980="","",IF(COUNTIF(Setup!$E$8:$E$13,D980)&gt;0,"Income","Expense"))</f>
        <v/>
      </c>
      <c r="F980" s="26" t="n"/>
      <c r="G980" s="25">
        <f>IF(B980="","",MONTH(B980))</f>
        <v/>
      </c>
    </row>
    <row r="981">
      <c r="B981" s="23" t="n"/>
      <c r="C981" s="24" t="n"/>
      <c r="D981" s="24" t="n"/>
      <c r="E981" s="25">
        <f>IF(D981="","",IF(COUNTIF(Setup!$E$8:$E$13,D981)&gt;0,"Income","Expense"))</f>
        <v/>
      </c>
      <c r="F981" s="26" t="n"/>
      <c r="G981" s="25">
        <f>IF(B981="","",MONTH(B981))</f>
        <v/>
      </c>
    </row>
    <row r="982">
      <c r="B982" s="23" t="n"/>
      <c r="C982" s="24" t="n"/>
      <c r="D982" s="24" t="n"/>
      <c r="E982" s="25">
        <f>IF(D982="","",IF(COUNTIF(Setup!$E$8:$E$13,D982)&gt;0,"Income","Expense"))</f>
        <v/>
      </c>
      <c r="F982" s="26" t="n"/>
      <c r="G982" s="25">
        <f>IF(B982="","",MONTH(B982))</f>
        <v/>
      </c>
    </row>
    <row r="983">
      <c r="B983" s="23" t="n"/>
      <c r="C983" s="24" t="n"/>
      <c r="D983" s="24" t="n"/>
      <c r="E983" s="25">
        <f>IF(D983="","",IF(COUNTIF(Setup!$E$8:$E$13,D983)&gt;0,"Income","Expense"))</f>
        <v/>
      </c>
      <c r="F983" s="26" t="n"/>
      <c r="G983" s="25">
        <f>IF(B983="","",MONTH(B983))</f>
        <v/>
      </c>
    </row>
    <row r="984">
      <c r="B984" s="23" t="n"/>
      <c r="C984" s="24" t="n"/>
      <c r="D984" s="24" t="n"/>
      <c r="E984" s="25">
        <f>IF(D984="","",IF(COUNTIF(Setup!$E$8:$E$13,D984)&gt;0,"Income","Expense"))</f>
        <v/>
      </c>
      <c r="F984" s="26" t="n"/>
      <c r="G984" s="25">
        <f>IF(B984="","",MONTH(B984))</f>
        <v/>
      </c>
    </row>
    <row r="985">
      <c r="B985" s="23" t="n"/>
      <c r="C985" s="24" t="n"/>
      <c r="D985" s="24" t="n"/>
      <c r="E985" s="25">
        <f>IF(D985="","",IF(COUNTIF(Setup!$E$8:$E$13,D985)&gt;0,"Income","Expense"))</f>
        <v/>
      </c>
      <c r="F985" s="26" t="n"/>
      <c r="G985" s="25">
        <f>IF(B985="","",MONTH(B985))</f>
        <v/>
      </c>
    </row>
    <row r="986">
      <c r="B986" s="23" t="n"/>
      <c r="C986" s="24" t="n"/>
      <c r="D986" s="24" t="n"/>
      <c r="E986" s="25">
        <f>IF(D986="","",IF(COUNTIF(Setup!$E$8:$E$13,D986)&gt;0,"Income","Expense"))</f>
        <v/>
      </c>
      <c r="F986" s="26" t="n"/>
      <c r="G986" s="25">
        <f>IF(B986="","",MONTH(B986))</f>
        <v/>
      </c>
    </row>
    <row r="987">
      <c r="B987" s="23" t="n"/>
      <c r="C987" s="24" t="n"/>
      <c r="D987" s="24" t="n"/>
      <c r="E987" s="25">
        <f>IF(D987="","",IF(COUNTIF(Setup!$E$8:$E$13,D987)&gt;0,"Income","Expense"))</f>
        <v/>
      </c>
      <c r="F987" s="26" t="n"/>
      <c r="G987" s="25">
        <f>IF(B987="","",MONTH(B987))</f>
        <v/>
      </c>
    </row>
    <row r="988">
      <c r="B988" s="23" t="n"/>
      <c r="C988" s="24" t="n"/>
      <c r="D988" s="24" t="n"/>
      <c r="E988" s="25">
        <f>IF(D988="","",IF(COUNTIF(Setup!$E$8:$E$13,D988)&gt;0,"Income","Expense"))</f>
        <v/>
      </c>
      <c r="F988" s="26" t="n"/>
      <c r="G988" s="25">
        <f>IF(B988="","",MONTH(B988))</f>
        <v/>
      </c>
    </row>
    <row r="989">
      <c r="B989" s="23" t="n"/>
      <c r="C989" s="24" t="n"/>
      <c r="D989" s="24" t="n"/>
      <c r="E989" s="25">
        <f>IF(D989="","",IF(COUNTIF(Setup!$E$8:$E$13,D989)&gt;0,"Income","Expense"))</f>
        <v/>
      </c>
      <c r="F989" s="26" t="n"/>
      <c r="G989" s="25">
        <f>IF(B989="","",MONTH(B989))</f>
        <v/>
      </c>
    </row>
    <row r="990">
      <c r="B990" s="23" t="n"/>
      <c r="C990" s="24" t="n"/>
      <c r="D990" s="24" t="n"/>
      <c r="E990" s="25">
        <f>IF(D990="","",IF(COUNTIF(Setup!$E$8:$E$13,D990)&gt;0,"Income","Expense"))</f>
        <v/>
      </c>
      <c r="F990" s="26" t="n"/>
      <c r="G990" s="25">
        <f>IF(B990="","",MONTH(B990))</f>
        <v/>
      </c>
    </row>
    <row r="991">
      <c r="B991" s="23" t="n"/>
      <c r="C991" s="24" t="n"/>
      <c r="D991" s="24" t="n"/>
      <c r="E991" s="25">
        <f>IF(D991="","",IF(COUNTIF(Setup!$E$8:$E$13,D991)&gt;0,"Income","Expense"))</f>
        <v/>
      </c>
      <c r="F991" s="26" t="n"/>
      <c r="G991" s="25">
        <f>IF(B991="","",MONTH(B991))</f>
        <v/>
      </c>
    </row>
    <row r="992">
      <c r="B992" s="23" t="n"/>
      <c r="C992" s="24" t="n"/>
      <c r="D992" s="24" t="n"/>
      <c r="E992" s="25">
        <f>IF(D992="","",IF(COUNTIF(Setup!$E$8:$E$13,D992)&gt;0,"Income","Expense"))</f>
        <v/>
      </c>
      <c r="F992" s="26" t="n"/>
      <c r="G992" s="25">
        <f>IF(B992="","",MONTH(B992))</f>
        <v/>
      </c>
    </row>
    <row r="993">
      <c r="B993" s="23" t="n"/>
      <c r="C993" s="24" t="n"/>
      <c r="D993" s="24" t="n"/>
      <c r="E993" s="25">
        <f>IF(D993="","",IF(COUNTIF(Setup!$E$8:$E$13,D993)&gt;0,"Income","Expense"))</f>
        <v/>
      </c>
      <c r="F993" s="26" t="n"/>
      <c r="G993" s="25">
        <f>IF(B993="","",MONTH(B993))</f>
        <v/>
      </c>
    </row>
    <row r="994">
      <c r="B994" s="23" t="n"/>
      <c r="C994" s="24" t="n"/>
      <c r="D994" s="24" t="n"/>
      <c r="E994" s="25">
        <f>IF(D994="","",IF(COUNTIF(Setup!$E$8:$E$13,D994)&gt;0,"Income","Expense"))</f>
        <v/>
      </c>
      <c r="F994" s="26" t="n"/>
      <c r="G994" s="25">
        <f>IF(B994="","",MONTH(B994))</f>
        <v/>
      </c>
    </row>
    <row r="995">
      <c r="B995" s="23" t="n"/>
      <c r="C995" s="24" t="n"/>
      <c r="D995" s="24" t="n"/>
      <c r="E995" s="25">
        <f>IF(D995="","",IF(COUNTIF(Setup!$E$8:$E$13,D995)&gt;0,"Income","Expense"))</f>
        <v/>
      </c>
      <c r="F995" s="26" t="n"/>
      <c r="G995" s="25">
        <f>IF(B995="","",MONTH(B995))</f>
        <v/>
      </c>
    </row>
    <row r="996">
      <c r="B996" s="23" t="n"/>
      <c r="C996" s="24" t="n"/>
      <c r="D996" s="24" t="n"/>
      <c r="E996" s="25">
        <f>IF(D996="","",IF(COUNTIF(Setup!$E$8:$E$13,D996)&gt;0,"Income","Expense"))</f>
        <v/>
      </c>
      <c r="F996" s="26" t="n"/>
      <c r="G996" s="25">
        <f>IF(B996="","",MONTH(B996))</f>
        <v/>
      </c>
    </row>
    <row r="997">
      <c r="B997" s="23" t="n"/>
      <c r="C997" s="24" t="n"/>
      <c r="D997" s="24" t="n"/>
      <c r="E997" s="25">
        <f>IF(D997="","",IF(COUNTIF(Setup!$E$8:$E$13,D997)&gt;0,"Income","Expense"))</f>
        <v/>
      </c>
      <c r="F997" s="26" t="n"/>
      <c r="G997" s="25">
        <f>IF(B997="","",MONTH(B997))</f>
        <v/>
      </c>
    </row>
    <row r="998">
      <c r="B998" s="23" t="n"/>
      <c r="C998" s="24" t="n"/>
      <c r="D998" s="24" t="n"/>
      <c r="E998" s="25">
        <f>IF(D998="","",IF(COUNTIF(Setup!$E$8:$E$13,D998)&gt;0,"Income","Expense"))</f>
        <v/>
      </c>
      <c r="F998" s="26" t="n"/>
      <c r="G998" s="25">
        <f>IF(B998="","",MONTH(B998))</f>
        <v/>
      </c>
    </row>
    <row r="999">
      <c r="B999" s="23" t="n"/>
      <c r="C999" s="24" t="n"/>
      <c r="D999" s="24" t="n"/>
      <c r="E999" s="25">
        <f>IF(D999="","",IF(COUNTIF(Setup!$E$8:$E$13,D999)&gt;0,"Income","Expense"))</f>
        <v/>
      </c>
      <c r="F999" s="26" t="n"/>
      <c r="G999" s="25">
        <f>IF(B999="","",MONTH(B999))</f>
        <v/>
      </c>
    </row>
    <row r="1000">
      <c r="B1000" s="23" t="n"/>
      <c r="C1000" s="24" t="n"/>
      <c r="D1000" s="24" t="n"/>
      <c r="E1000" s="25">
        <f>IF(D1000="","",IF(COUNTIF(Setup!$E$8:$E$13,D1000)&gt;0,"Income","Expense"))</f>
        <v/>
      </c>
      <c r="F1000" s="26" t="n"/>
      <c r="G1000" s="25">
        <f>IF(B1000="","",MONTH(B1000))</f>
        <v/>
      </c>
    </row>
    <row r="1001">
      <c r="B1001" s="23" t="n"/>
      <c r="C1001" s="24" t="n"/>
      <c r="D1001" s="24" t="n"/>
      <c r="E1001" s="25">
        <f>IF(D1001="","",IF(COUNTIF(Setup!$E$8:$E$13,D1001)&gt;0,"Income","Expense"))</f>
        <v/>
      </c>
      <c r="F1001" s="26" t="n"/>
      <c r="G1001" s="25">
        <f>IF(B1001="","",MONTH(B1001))</f>
        <v/>
      </c>
    </row>
    <row r="1002">
      <c r="B1002" s="23" t="n"/>
      <c r="C1002" s="24" t="n"/>
      <c r="D1002" s="24" t="n"/>
      <c r="E1002" s="25">
        <f>IF(D1002="","",IF(COUNTIF(Setup!$E$8:$E$13,D1002)&gt;0,"Income","Expense"))</f>
        <v/>
      </c>
      <c r="F1002" s="26" t="n"/>
      <c r="G1002" s="25">
        <f>IF(B1002="","",MONTH(B1002))</f>
        <v/>
      </c>
    </row>
    <row r="1003">
      <c r="B1003" s="23" t="n"/>
      <c r="C1003" s="24" t="n"/>
      <c r="D1003" s="24" t="n"/>
      <c r="E1003" s="25">
        <f>IF(D1003="","",IF(COUNTIF(Setup!$E$8:$E$13,D1003)&gt;0,"Income","Expense"))</f>
        <v/>
      </c>
      <c r="F1003" s="26" t="n"/>
      <c r="G1003" s="25">
        <f>IF(B1003="","",MONTH(B1003))</f>
        <v/>
      </c>
    </row>
    <row r="1004">
      <c r="B1004" s="23" t="n"/>
      <c r="C1004" s="24" t="n"/>
      <c r="D1004" s="24" t="n"/>
      <c r="E1004" s="25">
        <f>IF(D1004="","",IF(COUNTIF(Setup!$E$8:$E$13,D1004)&gt;0,"Income","Expense"))</f>
        <v/>
      </c>
      <c r="F1004" s="26" t="n"/>
      <c r="G1004" s="25">
        <f>IF(B1004="","",MONTH(B1004))</f>
        <v/>
      </c>
    </row>
  </sheetData>
  <conditionalFormatting sqref="B5:G1004">
    <cfRule type="expression" priority="1" dxfId="2">
      <formula>$E5="Income"</formula>
    </cfRule>
  </conditionalFormatting>
  <dataValidations count="2">
    <dataValidation sqref="D5:D1004" showDropDown="0" showInputMessage="0" showErrorMessage="0" allowBlank="1" errorTitle="Unknown category" error="Pick a category from the list (edit them on Setup)." type="list">
      <formula1>=Setup!$H$8:$H$31</formula1>
    </dataValidation>
    <dataValidation sqref="B5:B1004" showDropDown="0" showInputMessage="0" showErrorMessage="0" allowBlank="1" type="date" operator="greaterThan">
      <formula1>1</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2F6B4F"/>
    <outlinePr summaryBelow="1" summaryRight="1"/>
    <pageSetUpPr fitToPage="1"/>
  </sheetPr>
  <dimension ref="A1:T60"/>
  <sheetViews>
    <sheetView showGridLines="0" workbookViewId="0">
      <selection activeCell="A1" sqref="A1"/>
    </sheetView>
  </sheetViews>
  <sheetFormatPr baseColWidth="8" defaultRowHeight="15"/>
  <cols>
    <col width="3" customWidth="1" min="1" max="1"/>
    <col width="26" customWidth="1" min="2" max="2"/>
    <col width="14" customWidth="1" min="3" max="3"/>
    <col width="14" customWidth="1" min="4" max="4"/>
    <col width="13" customWidth="1" min="5" max="5"/>
    <col width="14" customWidth="1" min="6" max="6"/>
    <col width="14" customWidth="1" min="7" max="7"/>
    <col width="16" customWidth="1" min="8" max="8"/>
  </cols>
  <sheetData>
    <row r="1" ht="36" customHeight="1">
      <c r="A1" s="1" t="n"/>
      <c r="B1" s="2" t="inlineStr">
        <is>
          <t>Savings Goals</t>
        </is>
      </c>
      <c r="C1" s="1" t="n"/>
      <c r="D1" s="1" t="n"/>
      <c r="E1" s="1" t="n"/>
      <c r="F1" s="1" t="n"/>
      <c r="G1" s="1" t="n"/>
      <c r="H1" s="1" t="n"/>
      <c r="I1" s="1" t="n"/>
      <c r="J1" s="1" t="n"/>
      <c r="K1" s="1" t="n"/>
      <c r="L1" s="1" t="n"/>
      <c r="M1" s="1" t="n"/>
      <c r="N1" s="1" t="n"/>
      <c r="O1" s="1" t="n"/>
      <c r="P1" s="1" t="n"/>
      <c r="Q1" s="1" t="n"/>
      <c r="R1" s="1" t="n"/>
      <c r="S1" s="1" t="n"/>
      <c r="T1" s="1" t="n"/>
    </row>
    <row r="2">
      <c r="A2" s="1" t="n"/>
      <c r="B2" s="3" t="inlineStr">
        <is>
          <t>Name a goal, set a target and a deadline - see what to save each month.</t>
        </is>
      </c>
      <c r="C2" s="1" t="n"/>
      <c r="D2" s="1" t="n"/>
      <c r="E2" s="1" t="n"/>
      <c r="F2" s="1" t="n"/>
      <c r="G2" s="1" t="n"/>
      <c r="H2" s="1" t="n"/>
      <c r="I2" s="1" t="n"/>
      <c r="J2" s="1" t="n"/>
      <c r="K2" s="1" t="n"/>
      <c r="L2" s="1" t="n"/>
      <c r="M2" s="1" t="n"/>
      <c r="N2" s="1" t="n"/>
      <c r="O2" s="1" t="n"/>
      <c r="P2" s="1" t="n"/>
      <c r="Q2" s="1" t="n"/>
      <c r="R2" s="1" t="n"/>
      <c r="S2" s="1" t="n"/>
      <c r="T2" s="1" t="n"/>
    </row>
    <row r="3">
      <c r="A3" s="1" t="n"/>
      <c r="B3" s="1" t="n"/>
      <c r="C3" s="1" t="n"/>
      <c r="D3" s="1" t="n"/>
      <c r="E3" s="1" t="n"/>
      <c r="F3" s="1" t="n"/>
      <c r="G3" s="1" t="n"/>
      <c r="H3" s="1" t="n"/>
      <c r="I3" s="1" t="n"/>
      <c r="J3" s="1" t="n"/>
      <c r="K3" s="1" t="n"/>
      <c r="L3" s="1" t="n"/>
      <c r="M3" s="1" t="n"/>
      <c r="N3" s="1" t="n"/>
      <c r="O3" s="1" t="n"/>
      <c r="P3" s="1" t="n"/>
      <c r="Q3" s="1" t="n"/>
      <c r="R3" s="1" t="n"/>
      <c r="S3" s="1" t="n"/>
      <c r="T3" s="1" t="n"/>
    </row>
    <row r="4" ht="22" customHeight="1">
      <c r="A4" s="1" t="n"/>
      <c r="B4" s="10" t="inlineStr">
        <is>
          <t>Goal</t>
        </is>
      </c>
      <c r="C4" s="10" t="inlineStr">
        <is>
          <t>Target</t>
        </is>
      </c>
      <c r="D4" s="10" t="inlineStr">
        <is>
          <t>Saved so far</t>
        </is>
      </c>
      <c r="E4" s="10" t="inlineStr">
        <is>
          <t>Progress</t>
        </is>
      </c>
      <c r="F4" s="10" t="inlineStr">
        <is>
          <t>Remaining</t>
        </is>
      </c>
      <c r="G4" s="10" t="inlineStr">
        <is>
          <t>Deadline</t>
        </is>
      </c>
      <c r="H4" s="10" t="inlineStr">
        <is>
          <t>Save per month</t>
        </is>
      </c>
      <c r="I4" s="1" t="n"/>
      <c r="J4" s="1" t="n"/>
      <c r="K4" s="1" t="n"/>
      <c r="L4" s="1" t="n"/>
      <c r="M4" s="1" t="n"/>
      <c r="N4" s="1" t="n"/>
      <c r="O4" s="1" t="n"/>
      <c r="P4" s="1" t="n"/>
      <c r="Q4" s="1" t="n"/>
      <c r="R4" s="1" t="n"/>
      <c r="S4" s="1" t="n"/>
      <c r="T4" s="1" t="n"/>
    </row>
    <row r="5">
      <c r="A5" s="1" t="n"/>
      <c r="B5" s="20" t="inlineStr">
        <is>
          <t>Emergency fund</t>
        </is>
      </c>
      <c r="C5" s="18" t="n">
        <v>6000</v>
      </c>
      <c r="D5" s="18" t="n">
        <v>1500</v>
      </c>
      <c r="E5" s="13">
        <f>IF(C5="","",MIN(1,D5/C5))</f>
        <v/>
      </c>
      <c r="F5" s="12">
        <f>IF(C5="","",MAX(0,C5-D5))</f>
        <v/>
      </c>
      <c r="G5" s="27" t="n">
        <v>46752</v>
      </c>
      <c r="H5" s="12">
        <f>IF(OR(C5="",G5=""),"",IF(F5=0,0,F5/MAX(1,DATEDIF(TODAY(),G5,"m")+(G5&lt;=TODAY()))))</f>
        <v/>
      </c>
      <c r="I5" s="1" t="n"/>
      <c r="J5" s="1" t="n"/>
      <c r="K5" s="1" t="n"/>
      <c r="L5" s="1" t="n"/>
      <c r="M5" s="1" t="n"/>
      <c r="N5" s="1" t="n"/>
      <c r="O5" s="1" t="n"/>
      <c r="P5" s="1" t="n"/>
      <c r="Q5" s="1" t="n"/>
      <c r="R5" s="1" t="n"/>
      <c r="S5" s="1" t="n"/>
      <c r="T5" s="1" t="n"/>
    </row>
    <row r="6">
      <c r="A6" s="1" t="n"/>
      <c r="B6" s="20" t="inlineStr">
        <is>
          <t>Vacation</t>
        </is>
      </c>
      <c r="C6" s="18" t="n">
        <v>2500</v>
      </c>
      <c r="D6" s="18" t="n">
        <v>400</v>
      </c>
      <c r="E6" s="13">
        <f>IF(C6="","",MIN(1,D6/C6))</f>
        <v/>
      </c>
      <c r="F6" s="12">
        <f>IF(C6="","",MAX(0,C6-D6))</f>
        <v/>
      </c>
      <c r="G6" s="27" t="n">
        <v>46569</v>
      </c>
      <c r="H6" s="12">
        <f>IF(OR(C6="",G6=""),"",IF(F6=0,0,F6/MAX(1,DATEDIF(TODAY(),G6,"m")+(G6&lt;=TODAY()))))</f>
        <v/>
      </c>
      <c r="I6" s="1" t="n"/>
      <c r="J6" s="1" t="n"/>
      <c r="K6" s="1" t="n"/>
      <c r="L6" s="1" t="n"/>
      <c r="M6" s="1" t="n"/>
      <c r="N6" s="1" t="n"/>
      <c r="O6" s="1" t="n"/>
      <c r="P6" s="1" t="n"/>
      <c r="Q6" s="1" t="n"/>
      <c r="R6" s="1" t="n"/>
      <c r="S6" s="1" t="n"/>
      <c r="T6" s="1" t="n"/>
    </row>
    <row r="7">
      <c r="A7" s="1" t="n"/>
      <c r="B7" s="20" t="inlineStr">
        <is>
          <t>New laptop</t>
        </is>
      </c>
      <c r="C7" s="18" t="n">
        <v>1400</v>
      </c>
      <c r="D7" s="18" t="n">
        <v>200</v>
      </c>
      <c r="E7" s="13">
        <f>IF(C7="","",MIN(1,D7/C7))</f>
        <v/>
      </c>
      <c r="F7" s="12">
        <f>IF(C7="","",MAX(0,C7-D7))</f>
        <v/>
      </c>
      <c r="G7" s="27" t="n">
        <v>46508</v>
      </c>
      <c r="H7" s="12">
        <f>IF(OR(C7="",G7=""),"",IF(F7=0,0,F7/MAX(1,DATEDIF(TODAY(),G7,"m")+(G7&lt;=TODAY()))))</f>
        <v/>
      </c>
      <c r="I7" s="1" t="n"/>
      <c r="J7" s="1" t="n"/>
      <c r="K7" s="1" t="n"/>
      <c r="L7" s="1" t="n"/>
      <c r="M7" s="1" t="n"/>
      <c r="N7" s="1" t="n"/>
      <c r="O7" s="1" t="n"/>
      <c r="P7" s="1" t="n"/>
      <c r="Q7" s="1" t="n"/>
      <c r="R7" s="1" t="n"/>
      <c r="S7" s="1" t="n"/>
      <c r="T7" s="1" t="n"/>
    </row>
    <row r="8">
      <c r="A8" s="1" t="n"/>
      <c r="B8" s="20" t="n"/>
      <c r="C8" s="18" t="n"/>
      <c r="D8" s="18" t="n"/>
      <c r="E8" s="13">
        <f>IF(C8="","",MIN(1,D8/C8))</f>
        <v/>
      </c>
      <c r="F8" s="12">
        <f>IF(C8="","",MAX(0,C8-D8))</f>
        <v/>
      </c>
      <c r="G8" s="27" t="n"/>
      <c r="H8" s="12">
        <f>IF(OR(C8="",G8=""),"",IF(F8=0,0,F8/MAX(1,DATEDIF(TODAY(),G8,"m")+(G8&lt;=TODAY()))))</f>
        <v/>
      </c>
      <c r="I8" s="1" t="n"/>
      <c r="J8" s="1" t="n"/>
      <c r="K8" s="1" t="n"/>
      <c r="L8" s="1" t="n"/>
      <c r="M8" s="1" t="n"/>
      <c r="N8" s="1" t="n"/>
      <c r="O8" s="1" t="n"/>
      <c r="P8" s="1" t="n"/>
      <c r="Q8" s="1" t="n"/>
      <c r="R8" s="1" t="n"/>
      <c r="S8" s="1" t="n"/>
      <c r="T8" s="1" t="n"/>
    </row>
    <row r="9">
      <c r="A9" s="1" t="n"/>
      <c r="B9" s="20" t="n"/>
      <c r="C9" s="18" t="n"/>
      <c r="D9" s="18" t="n"/>
      <c r="E9" s="13">
        <f>IF(C9="","",MIN(1,D9/C9))</f>
        <v/>
      </c>
      <c r="F9" s="12">
        <f>IF(C9="","",MAX(0,C9-D9))</f>
        <v/>
      </c>
      <c r="G9" s="27" t="n"/>
      <c r="H9" s="12">
        <f>IF(OR(C9="",G9=""),"",IF(F9=0,0,F9/MAX(1,DATEDIF(TODAY(),G9,"m")+(G9&lt;=TODAY()))))</f>
        <v/>
      </c>
      <c r="I9" s="1" t="n"/>
      <c r="J9" s="1" t="n"/>
      <c r="K9" s="1" t="n"/>
      <c r="L9" s="1" t="n"/>
      <c r="M9" s="1" t="n"/>
      <c r="N9" s="1" t="n"/>
      <c r="O9" s="1" t="n"/>
      <c r="P9" s="1" t="n"/>
      <c r="Q9" s="1" t="n"/>
      <c r="R9" s="1" t="n"/>
      <c r="S9" s="1" t="n"/>
      <c r="T9" s="1" t="n"/>
    </row>
    <row r="10">
      <c r="A10" s="1" t="n"/>
      <c r="B10" s="20" t="n"/>
      <c r="C10" s="18" t="n"/>
      <c r="D10" s="18" t="n"/>
      <c r="E10" s="13">
        <f>IF(C10="","",MIN(1,D10/C10))</f>
        <v/>
      </c>
      <c r="F10" s="12">
        <f>IF(C10="","",MAX(0,C10-D10))</f>
        <v/>
      </c>
      <c r="G10" s="27" t="n"/>
      <c r="H10" s="12">
        <f>IF(OR(C10="",G10=""),"",IF(F10=0,0,F10/MAX(1,DATEDIF(TODAY(),G10,"m")+(G10&lt;=TODAY()))))</f>
        <v/>
      </c>
      <c r="I10" s="1" t="n"/>
      <c r="J10" s="1" t="n"/>
      <c r="K10" s="1" t="n"/>
      <c r="L10" s="1" t="n"/>
      <c r="M10" s="1" t="n"/>
      <c r="N10" s="1" t="n"/>
      <c r="O10" s="1" t="n"/>
      <c r="P10" s="1" t="n"/>
      <c r="Q10" s="1" t="n"/>
      <c r="R10" s="1" t="n"/>
      <c r="S10" s="1" t="n"/>
      <c r="T10" s="1" t="n"/>
    </row>
    <row r="11">
      <c r="A11" s="1" t="n"/>
      <c r="B11" s="20" t="n"/>
      <c r="C11" s="18" t="n"/>
      <c r="D11" s="18" t="n"/>
      <c r="E11" s="13">
        <f>IF(C11="","",MIN(1,D11/C11))</f>
        <v/>
      </c>
      <c r="F11" s="12">
        <f>IF(C11="","",MAX(0,C11-D11))</f>
        <v/>
      </c>
      <c r="G11" s="27" t="n"/>
      <c r="H11" s="12">
        <f>IF(OR(C11="",G11=""),"",IF(F11=0,0,F11/MAX(1,DATEDIF(TODAY(),G11,"m")+(G11&lt;=TODAY()))))</f>
        <v/>
      </c>
      <c r="I11" s="1" t="n"/>
      <c r="J11" s="1" t="n"/>
      <c r="K11" s="1" t="n"/>
      <c r="L11" s="1" t="n"/>
      <c r="M11" s="1" t="n"/>
      <c r="N11" s="1" t="n"/>
      <c r="O11" s="1" t="n"/>
      <c r="P11" s="1" t="n"/>
      <c r="Q11" s="1" t="n"/>
      <c r="R11" s="1" t="n"/>
      <c r="S11" s="1" t="n"/>
      <c r="T11" s="1" t="n"/>
    </row>
    <row r="12">
      <c r="A12" s="1" t="n"/>
      <c r="B12" s="20" t="n"/>
      <c r="C12" s="18" t="n"/>
      <c r="D12" s="18" t="n"/>
      <c r="E12" s="13">
        <f>IF(C12="","",MIN(1,D12/C12))</f>
        <v/>
      </c>
      <c r="F12" s="12">
        <f>IF(C12="","",MAX(0,C12-D12))</f>
        <v/>
      </c>
      <c r="G12" s="27" t="n"/>
      <c r="H12" s="12">
        <f>IF(OR(C12="",G12=""),"",IF(F12=0,0,F12/MAX(1,DATEDIF(TODAY(),G12,"m")+(G12&lt;=TODAY()))))</f>
        <v/>
      </c>
      <c r="I12" s="1" t="n"/>
      <c r="J12" s="1" t="n"/>
      <c r="K12" s="1" t="n"/>
      <c r="L12" s="1" t="n"/>
      <c r="M12" s="1" t="n"/>
      <c r="N12" s="1" t="n"/>
      <c r="O12" s="1" t="n"/>
      <c r="P12" s="1" t="n"/>
      <c r="Q12" s="1" t="n"/>
      <c r="R12" s="1" t="n"/>
      <c r="S12" s="1" t="n"/>
      <c r="T12" s="1" t="n"/>
    </row>
    <row r="13">
      <c r="A13" s="1" t="n"/>
      <c r="B13" s="20" t="n"/>
      <c r="C13" s="18" t="n"/>
      <c r="D13" s="18" t="n"/>
      <c r="E13" s="13">
        <f>IF(C13="","",MIN(1,D13/C13))</f>
        <v/>
      </c>
      <c r="F13" s="12">
        <f>IF(C13="","",MAX(0,C13-D13))</f>
        <v/>
      </c>
      <c r="G13" s="27" t="n"/>
      <c r="H13" s="12">
        <f>IF(OR(C13="",G13=""),"",IF(F13=0,0,F13/MAX(1,DATEDIF(TODAY(),G13,"m")+(G13&lt;=TODAY()))))</f>
        <v/>
      </c>
      <c r="I13" s="1" t="n"/>
      <c r="J13" s="1" t="n"/>
      <c r="K13" s="1" t="n"/>
      <c r="L13" s="1" t="n"/>
      <c r="M13" s="1" t="n"/>
      <c r="N13" s="1" t="n"/>
      <c r="O13" s="1" t="n"/>
      <c r="P13" s="1" t="n"/>
      <c r="Q13" s="1" t="n"/>
      <c r="R13" s="1" t="n"/>
      <c r="S13" s="1" t="n"/>
      <c r="T13" s="1" t="n"/>
    </row>
    <row r="14">
      <c r="A14" s="1" t="n"/>
      <c r="B14" s="20" t="n"/>
      <c r="C14" s="18" t="n"/>
      <c r="D14" s="18" t="n"/>
      <c r="E14" s="13">
        <f>IF(C14="","",MIN(1,D14/C14))</f>
        <v/>
      </c>
      <c r="F14" s="12">
        <f>IF(C14="","",MAX(0,C14-D14))</f>
        <v/>
      </c>
      <c r="G14" s="27" t="n"/>
      <c r="H14" s="12">
        <f>IF(OR(C14="",G14=""),"",IF(F14=0,0,F14/MAX(1,DATEDIF(TODAY(),G14,"m")+(G14&lt;=TODAY()))))</f>
        <v/>
      </c>
      <c r="I14" s="1" t="n"/>
      <c r="J14" s="1" t="n"/>
      <c r="K14" s="1" t="n"/>
      <c r="L14" s="1" t="n"/>
      <c r="M14" s="1" t="n"/>
      <c r="N14" s="1" t="n"/>
      <c r="O14" s="1" t="n"/>
      <c r="P14" s="1" t="n"/>
      <c r="Q14" s="1" t="n"/>
      <c r="R14" s="1" t="n"/>
      <c r="S14" s="1" t="n"/>
      <c r="T14" s="1" t="n"/>
    </row>
    <row r="15">
      <c r="A15" s="1" t="n"/>
      <c r="B15" s="20" t="n"/>
      <c r="C15" s="18" t="n"/>
      <c r="D15" s="18" t="n"/>
      <c r="E15" s="13">
        <f>IF(C15="","",MIN(1,D15/C15))</f>
        <v/>
      </c>
      <c r="F15" s="12">
        <f>IF(C15="","",MAX(0,C15-D15))</f>
        <v/>
      </c>
      <c r="G15" s="27" t="n"/>
      <c r="H15" s="12">
        <f>IF(OR(C15="",G15=""),"",IF(F15=0,0,F15/MAX(1,DATEDIF(TODAY(),G15,"m")+(G15&lt;=TODAY()))))</f>
        <v/>
      </c>
      <c r="I15" s="1" t="n"/>
      <c r="J15" s="1" t="n"/>
      <c r="K15" s="1" t="n"/>
      <c r="L15" s="1" t="n"/>
      <c r="M15" s="1" t="n"/>
      <c r="N15" s="1" t="n"/>
      <c r="O15" s="1" t="n"/>
      <c r="P15" s="1" t="n"/>
      <c r="Q15" s="1" t="n"/>
      <c r="R15" s="1" t="n"/>
      <c r="S15" s="1" t="n"/>
      <c r="T15" s="1" t="n"/>
    </row>
    <row r="16">
      <c r="A16" s="1" t="n"/>
      <c r="B16" s="20" t="n"/>
      <c r="C16" s="18" t="n"/>
      <c r="D16" s="18" t="n"/>
      <c r="E16" s="13">
        <f>IF(C16="","",MIN(1,D16/C16))</f>
        <v/>
      </c>
      <c r="F16" s="12">
        <f>IF(C16="","",MAX(0,C16-D16))</f>
        <v/>
      </c>
      <c r="G16" s="27" t="n"/>
      <c r="H16" s="12">
        <f>IF(OR(C16="",G16=""),"",IF(F16=0,0,F16/MAX(1,DATEDIF(TODAY(),G16,"m")+(G16&lt;=TODAY()))))</f>
        <v/>
      </c>
      <c r="I16" s="1" t="n"/>
      <c r="J16" s="1" t="n"/>
      <c r="K16" s="1" t="n"/>
      <c r="L16" s="1" t="n"/>
      <c r="M16" s="1" t="n"/>
      <c r="N16" s="1" t="n"/>
      <c r="O16" s="1" t="n"/>
      <c r="P16" s="1" t="n"/>
      <c r="Q16" s="1" t="n"/>
      <c r="R16" s="1" t="n"/>
      <c r="S16" s="1" t="n"/>
      <c r="T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row>
  </sheetData>
  <conditionalFormatting sqref="E5:E16">
    <cfRule type="dataBar" priority="1">
      <dataBar>
        <cfvo type="num" val="0"/>
        <cfvo type="num" val="1"/>
        <color rgb="007FB394"/>
      </dataBar>
    </cfRule>
  </conditionalFormatting>
  <pageMargins left="0.75" right="0.75" top="1" bottom="1" header="0.5" footer="0.5"/>
  <pageSetup orientation="landscape" fitToHeight="1" fitToWidth="1"/>
</worksheet>
</file>

<file path=xl/worksheets/sheet6.xml><?xml version="1.0" encoding="utf-8"?>
<worksheet xmlns="http://schemas.openxmlformats.org/spreadsheetml/2006/main">
  <sheetPr>
    <tabColor rgb="002F6B4F"/>
    <outlinePr summaryBelow="1" summaryRight="1"/>
    <pageSetUpPr fitToPage="1"/>
  </sheetPr>
  <dimension ref="A1:T60"/>
  <sheetViews>
    <sheetView showGridLines="0" workbookViewId="0">
      <selection activeCell="A1" sqref="A1"/>
    </sheetView>
  </sheetViews>
  <sheetFormatPr baseColWidth="8" defaultRowHeight="15"/>
  <cols>
    <col width="3" customWidth="1" min="1" max="1"/>
    <col width="24" customWidth="1" min="2" max="2"/>
    <col width="14" customWidth="1" min="3" max="3"/>
    <col width="11" customWidth="1" min="4" max="4"/>
    <col width="14" customWidth="1" min="5" max="5"/>
    <col width="14" customWidth="1" min="6" max="6"/>
    <col width="15" customWidth="1" min="7" max="7"/>
    <col width="16" customWidth="1" min="8" max="8"/>
    <col width="16" customWidth="1" min="9" max="9"/>
  </cols>
  <sheetData>
    <row r="1" ht="36" customHeight="1">
      <c r="A1" s="1" t="n"/>
      <c r="B1" s="2" t="inlineStr">
        <is>
          <t>Debt Payoff Planner</t>
        </is>
      </c>
      <c r="C1" s="1" t="n"/>
      <c r="D1" s="1" t="n"/>
      <c r="E1" s="1" t="n"/>
      <c r="F1" s="1" t="n"/>
      <c r="G1" s="1" t="n"/>
      <c r="H1" s="1" t="n"/>
      <c r="I1" s="1" t="n"/>
      <c r="J1" s="1" t="n"/>
      <c r="K1" s="1" t="n"/>
      <c r="L1" s="1" t="n"/>
      <c r="M1" s="1" t="n"/>
      <c r="N1" s="1" t="n"/>
      <c r="O1" s="1" t="n"/>
      <c r="P1" s="1" t="n"/>
      <c r="Q1" s="1" t="n"/>
      <c r="R1" s="1" t="n"/>
      <c r="S1" s="1" t="n"/>
      <c r="T1" s="1" t="n"/>
    </row>
    <row r="2">
      <c r="A2" s="1" t="n"/>
      <c r="B2" s="3" t="inlineStr">
        <is>
          <t>Add extra payments and watch your debt-free date move closer.</t>
        </is>
      </c>
      <c r="C2" s="1" t="n"/>
      <c r="D2" s="1" t="n"/>
      <c r="E2" s="1" t="n"/>
      <c r="F2" s="1" t="n"/>
      <c r="G2" s="1" t="n"/>
      <c r="H2" s="1" t="n"/>
      <c r="I2" s="1" t="n"/>
      <c r="J2" s="1" t="n"/>
      <c r="K2" s="1" t="n"/>
      <c r="L2" s="1" t="n"/>
      <c r="M2" s="1" t="n"/>
      <c r="N2" s="1" t="n"/>
      <c r="O2" s="1" t="n"/>
      <c r="P2" s="1" t="n"/>
      <c r="Q2" s="1" t="n"/>
      <c r="R2" s="1" t="n"/>
      <c r="S2" s="1" t="n"/>
      <c r="T2" s="1" t="n"/>
    </row>
    <row r="3">
      <c r="A3" s="1" t="n"/>
      <c r="B3" s="1" t="n"/>
      <c r="C3" s="1" t="n"/>
      <c r="D3" s="1" t="n"/>
      <c r="E3" s="1" t="n"/>
      <c r="F3" s="1" t="n"/>
      <c r="G3" s="1" t="n"/>
      <c r="H3" s="1" t="n"/>
      <c r="I3" s="1" t="n"/>
      <c r="J3" s="1" t="n"/>
      <c r="K3" s="1" t="n"/>
      <c r="L3" s="1" t="n"/>
      <c r="M3" s="1" t="n"/>
      <c r="N3" s="1" t="n"/>
      <c r="O3" s="1" t="n"/>
      <c r="P3" s="1" t="n"/>
      <c r="Q3" s="1" t="n"/>
      <c r="R3" s="1" t="n"/>
      <c r="S3" s="1" t="n"/>
      <c r="T3" s="1" t="n"/>
    </row>
    <row r="4" ht="22" customHeight="1">
      <c r="A4" s="1" t="n"/>
      <c r="B4" s="10" t="inlineStr">
        <is>
          <t>Debt</t>
        </is>
      </c>
      <c r="C4" s="10" t="inlineStr">
        <is>
          <t>Balance</t>
        </is>
      </c>
      <c r="D4" s="10" t="inlineStr">
        <is>
          <t>APR</t>
        </is>
      </c>
      <c r="E4" s="10" t="inlineStr">
        <is>
          <t>Min payment</t>
        </is>
      </c>
      <c r="F4" s="10" t="inlineStr">
        <is>
          <t>Extra / month</t>
        </is>
      </c>
      <c r="G4" s="10" t="inlineStr">
        <is>
          <t>Months to payoff</t>
        </is>
      </c>
      <c r="H4" s="10" t="inlineStr">
        <is>
          <t>Debt-free date</t>
        </is>
      </c>
      <c r="I4" s="10" t="inlineStr">
        <is>
          <t>Total interest</t>
        </is>
      </c>
      <c r="J4" s="1" t="n"/>
      <c r="K4" s="1" t="n"/>
      <c r="L4" s="1" t="n"/>
      <c r="M4" s="1" t="n"/>
      <c r="N4" s="1" t="n"/>
      <c r="O4" s="1" t="n"/>
      <c r="P4" s="1" t="n"/>
      <c r="Q4" s="1" t="n"/>
      <c r="R4" s="1" t="n"/>
      <c r="S4" s="1" t="n"/>
      <c r="T4" s="1" t="n"/>
    </row>
    <row r="5">
      <c r="A5" s="1" t="n"/>
      <c r="B5" s="20" t="inlineStr">
        <is>
          <t>Credit card</t>
        </is>
      </c>
      <c r="C5" s="18" t="n">
        <v>3200</v>
      </c>
      <c r="D5" s="28" t="n">
        <v>0.229</v>
      </c>
      <c r="E5" s="18" t="n">
        <v>95</v>
      </c>
      <c r="F5" s="18" t="n">
        <v>100</v>
      </c>
      <c r="G5" s="29">
        <f>IF(OR(C5="",C5=0),"",IF(D5=0,ROUNDUP(C5/(E5+F5),0),IF((E5+F5)&lt;=C5*D5/12,"Payment too low",ROUNDUP(NPER(D5/12,-(E5+F5),C5),0))))</f>
        <v/>
      </c>
      <c r="H5" s="30">
        <f>IF(ISNUMBER(G5),EDATE(TODAY(),G5),"")</f>
        <v/>
      </c>
      <c r="I5" s="12">
        <f>IF(ISNUMBER(G5),IF(D5=0,0,MAX(0,(E5+F5)*NPER(D5/12,-(E5+F5),C5)-C5)),"")</f>
        <v/>
      </c>
      <c r="J5" s="1" t="n"/>
      <c r="K5" s="1" t="n"/>
      <c r="L5" s="1" t="n"/>
      <c r="M5" s="1" t="n"/>
      <c r="N5" s="1" t="n"/>
      <c r="O5" s="1" t="n"/>
      <c r="P5" s="1" t="n"/>
      <c r="Q5" s="1" t="n"/>
      <c r="R5" s="1" t="n"/>
      <c r="S5" s="1" t="n"/>
      <c r="T5" s="1" t="n"/>
    </row>
    <row r="6">
      <c r="A6" s="1" t="n"/>
      <c r="B6" s="20" t="inlineStr">
        <is>
          <t>Car loan</t>
        </is>
      </c>
      <c r="C6" s="18" t="n">
        <v>9800</v>
      </c>
      <c r="D6" s="28" t="n">
        <v>0.06900000000000001</v>
      </c>
      <c r="E6" s="18" t="n">
        <v>280</v>
      </c>
      <c r="F6" s="18" t="n">
        <v>0</v>
      </c>
      <c r="G6" s="29">
        <f>IF(OR(C6="",C6=0),"",IF(D6=0,ROUNDUP(C6/(E6+F6),0),IF((E6+F6)&lt;=C6*D6/12,"Payment too low",ROUNDUP(NPER(D6/12,-(E6+F6),C6),0))))</f>
        <v/>
      </c>
      <c r="H6" s="30">
        <f>IF(ISNUMBER(G6),EDATE(TODAY(),G6),"")</f>
        <v/>
      </c>
      <c r="I6" s="12">
        <f>IF(ISNUMBER(G6),IF(D6=0,0,MAX(0,(E6+F6)*NPER(D6/12,-(E6+F6),C6)-C6)),"")</f>
        <v/>
      </c>
      <c r="J6" s="1" t="n"/>
      <c r="K6" s="1" t="n"/>
      <c r="L6" s="1" t="n"/>
      <c r="M6" s="1" t="n"/>
      <c r="N6" s="1" t="n"/>
      <c r="O6" s="1" t="n"/>
      <c r="P6" s="1" t="n"/>
      <c r="Q6" s="1" t="n"/>
      <c r="R6" s="1" t="n"/>
      <c r="S6" s="1" t="n"/>
      <c r="T6" s="1" t="n"/>
    </row>
    <row r="7">
      <c r="A7" s="1" t="n"/>
      <c r="B7" s="20" t="inlineStr">
        <is>
          <t>Student loan</t>
        </is>
      </c>
      <c r="C7" s="18" t="n">
        <v>14500</v>
      </c>
      <c r="D7" s="28" t="n">
        <v>0.045</v>
      </c>
      <c r="E7" s="18" t="n">
        <v>160</v>
      </c>
      <c r="F7" s="18" t="n">
        <v>0</v>
      </c>
      <c r="G7" s="29">
        <f>IF(OR(C7="",C7=0),"",IF(D7=0,ROUNDUP(C7/(E7+F7),0),IF((E7+F7)&lt;=C7*D7/12,"Payment too low",ROUNDUP(NPER(D7/12,-(E7+F7),C7),0))))</f>
        <v/>
      </c>
      <c r="H7" s="30">
        <f>IF(ISNUMBER(G7),EDATE(TODAY(),G7),"")</f>
        <v/>
      </c>
      <c r="I7" s="12">
        <f>IF(ISNUMBER(G7),IF(D7=0,0,MAX(0,(E7+F7)*NPER(D7/12,-(E7+F7),C7)-C7)),"")</f>
        <v/>
      </c>
      <c r="J7" s="1" t="n"/>
      <c r="K7" s="1" t="n"/>
      <c r="L7" s="1" t="n"/>
      <c r="M7" s="1" t="n"/>
      <c r="N7" s="1" t="n"/>
      <c r="O7" s="1" t="n"/>
      <c r="P7" s="1" t="n"/>
      <c r="Q7" s="1" t="n"/>
      <c r="R7" s="1" t="n"/>
      <c r="S7" s="1" t="n"/>
      <c r="T7" s="1" t="n"/>
    </row>
    <row r="8">
      <c r="A8" s="1" t="n"/>
      <c r="B8" s="20" t="n"/>
      <c r="C8" s="18" t="n"/>
      <c r="D8" s="28" t="n"/>
      <c r="E8" s="18" t="n"/>
      <c r="F8" s="18" t="n"/>
      <c r="G8" s="29">
        <f>IF(OR(C8="",C8=0),"",IF(D8=0,ROUNDUP(C8/(E8+F8),0),IF((E8+F8)&lt;=C8*D8/12,"Payment too low",ROUNDUP(NPER(D8/12,-(E8+F8),C8),0))))</f>
        <v/>
      </c>
      <c r="H8" s="30">
        <f>IF(ISNUMBER(G8),EDATE(TODAY(),G8),"")</f>
        <v/>
      </c>
      <c r="I8" s="12">
        <f>IF(ISNUMBER(G8),IF(D8=0,0,MAX(0,(E8+F8)*NPER(D8/12,-(E8+F8),C8)-C8)),"")</f>
        <v/>
      </c>
      <c r="J8" s="1" t="n"/>
      <c r="K8" s="1" t="n"/>
      <c r="L8" s="1" t="n"/>
      <c r="M8" s="1" t="n"/>
      <c r="N8" s="1" t="n"/>
      <c r="O8" s="1" t="n"/>
      <c r="P8" s="1" t="n"/>
      <c r="Q8" s="1" t="n"/>
      <c r="R8" s="1" t="n"/>
      <c r="S8" s="1" t="n"/>
      <c r="T8" s="1" t="n"/>
    </row>
    <row r="9">
      <c r="A9" s="1" t="n"/>
      <c r="B9" s="20" t="n"/>
      <c r="C9" s="18" t="n"/>
      <c r="D9" s="28" t="n"/>
      <c r="E9" s="18" t="n"/>
      <c r="F9" s="18" t="n"/>
      <c r="G9" s="29">
        <f>IF(OR(C9="",C9=0),"",IF(D9=0,ROUNDUP(C9/(E9+F9),0),IF((E9+F9)&lt;=C9*D9/12,"Payment too low",ROUNDUP(NPER(D9/12,-(E9+F9),C9),0))))</f>
        <v/>
      </c>
      <c r="H9" s="30">
        <f>IF(ISNUMBER(G9),EDATE(TODAY(),G9),"")</f>
        <v/>
      </c>
      <c r="I9" s="12">
        <f>IF(ISNUMBER(G9),IF(D9=0,0,MAX(0,(E9+F9)*NPER(D9/12,-(E9+F9),C9)-C9)),"")</f>
        <v/>
      </c>
      <c r="J9" s="1" t="n"/>
      <c r="K9" s="1" t="n"/>
      <c r="L9" s="1" t="n"/>
      <c r="M9" s="1" t="n"/>
      <c r="N9" s="1" t="n"/>
      <c r="O9" s="1" t="n"/>
      <c r="P9" s="1" t="n"/>
      <c r="Q9" s="1" t="n"/>
      <c r="R9" s="1" t="n"/>
      <c r="S9" s="1" t="n"/>
      <c r="T9" s="1" t="n"/>
    </row>
    <row r="10">
      <c r="A10" s="1" t="n"/>
      <c r="B10" s="20" t="n"/>
      <c r="C10" s="18" t="n"/>
      <c r="D10" s="28" t="n"/>
      <c r="E10" s="18" t="n"/>
      <c r="F10" s="18" t="n"/>
      <c r="G10" s="29">
        <f>IF(OR(C10="",C10=0),"",IF(D10=0,ROUNDUP(C10/(E10+F10),0),IF((E10+F10)&lt;=C10*D10/12,"Payment too low",ROUNDUP(NPER(D10/12,-(E10+F10),C10),0))))</f>
        <v/>
      </c>
      <c r="H10" s="30">
        <f>IF(ISNUMBER(G10),EDATE(TODAY(),G10),"")</f>
        <v/>
      </c>
      <c r="I10" s="12">
        <f>IF(ISNUMBER(G10),IF(D10=0,0,MAX(0,(E10+F10)*NPER(D10/12,-(E10+F10),C10)-C10)),"")</f>
        <v/>
      </c>
      <c r="J10" s="1" t="n"/>
      <c r="K10" s="1" t="n"/>
      <c r="L10" s="1" t="n"/>
      <c r="M10" s="1" t="n"/>
      <c r="N10" s="1" t="n"/>
      <c r="O10" s="1" t="n"/>
      <c r="P10" s="1" t="n"/>
      <c r="Q10" s="1" t="n"/>
      <c r="R10" s="1" t="n"/>
      <c r="S10" s="1" t="n"/>
      <c r="T10" s="1" t="n"/>
    </row>
    <row r="11">
      <c r="A11" s="1" t="n"/>
      <c r="B11" s="20" t="n"/>
      <c r="C11" s="18" t="n"/>
      <c r="D11" s="28" t="n"/>
      <c r="E11" s="18" t="n"/>
      <c r="F11" s="18" t="n"/>
      <c r="G11" s="29">
        <f>IF(OR(C11="",C11=0),"",IF(D11=0,ROUNDUP(C11/(E11+F11),0),IF((E11+F11)&lt;=C11*D11/12,"Payment too low",ROUNDUP(NPER(D11/12,-(E11+F11),C11),0))))</f>
        <v/>
      </c>
      <c r="H11" s="30">
        <f>IF(ISNUMBER(G11),EDATE(TODAY(),G11),"")</f>
        <v/>
      </c>
      <c r="I11" s="12">
        <f>IF(ISNUMBER(G11),IF(D11=0,0,MAX(0,(E11+F11)*NPER(D11/12,-(E11+F11),C11)-C11)),"")</f>
        <v/>
      </c>
      <c r="J11" s="1" t="n"/>
      <c r="K11" s="1" t="n"/>
      <c r="L11" s="1" t="n"/>
      <c r="M11" s="1" t="n"/>
      <c r="N11" s="1" t="n"/>
      <c r="O11" s="1" t="n"/>
      <c r="P11" s="1" t="n"/>
      <c r="Q11" s="1" t="n"/>
      <c r="R11" s="1" t="n"/>
      <c r="S11" s="1" t="n"/>
      <c r="T11" s="1" t="n"/>
    </row>
    <row r="12">
      <c r="A12" s="1" t="n"/>
      <c r="B12" s="20" t="n"/>
      <c r="C12" s="18" t="n"/>
      <c r="D12" s="28" t="n"/>
      <c r="E12" s="18" t="n"/>
      <c r="F12" s="18" t="n"/>
      <c r="G12" s="29">
        <f>IF(OR(C12="",C12=0),"",IF(D12=0,ROUNDUP(C12/(E12+F12),0),IF((E12+F12)&lt;=C12*D12/12,"Payment too low",ROUNDUP(NPER(D12/12,-(E12+F12),C12),0))))</f>
        <v/>
      </c>
      <c r="H12" s="30">
        <f>IF(ISNUMBER(G12),EDATE(TODAY(),G12),"")</f>
        <v/>
      </c>
      <c r="I12" s="12">
        <f>IF(ISNUMBER(G12),IF(D12=0,0,MAX(0,(E12+F12)*NPER(D12/12,-(E12+F12),C12)-C12)),"")</f>
        <v/>
      </c>
      <c r="J12" s="1" t="n"/>
      <c r="K12" s="1" t="n"/>
      <c r="L12" s="1" t="n"/>
      <c r="M12" s="1" t="n"/>
      <c r="N12" s="1" t="n"/>
      <c r="O12" s="1" t="n"/>
      <c r="P12" s="1" t="n"/>
      <c r="Q12" s="1" t="n"/>
      <c r="R12" s="1" t="n"/>
      <c r="S12" s="1" t="n"/>
      <c r="T12" s="1" t="n"/>
    </row>
    <row r="13">
      <c r="A13" s="1" t="n"/>
      <c r="B13" s="20" t="n"/>
      <c r="C13" s="18" t="n"/>
      <c r="D13" s="28" t="n"/>
      <c r="E13" s="18" t="n"/>
      <c r="F13" s="18" t="n"/>
      <c r="G13" s="29">
        <f>IF(OR(C13="",C13=0),"",IF(D13=0,ROUNDUP(C13/(E13+F13),0),IF((E13+F13)&lt;=C13*D13/12,"Payment too low",ROUNDUP(NPER(D13/12,-(E13+F13),C13),0))))</f>
        <v/>
      </c>
      <c r="H13" s="30">
        <f>IF(ISNUMBER(G13),EDATE(TODAY(),G13),"")</f>
        <v/>
      </c>
      <c r="I13" s="12">
        <f>IF(ISNUMBER(G13),IF(D13=0,0,MAX(0,(E13+F13)*NPER(D13/12,-(E13+F13),C13)-C13)),"")</f>
        <v/>
      </c>
      <c r="J13" s="1" t="n"/>
      <c r="K13" s="1" t="n"/>
      <c r="L13" s="1" t="n"/>
      <c r="M13" s="1" t="n"/>
      <c r="N13" s="1" t="n"/>
      <c r="O13" s="1" t="n"/>
      <c r="P13" s="1" t="n"/>
      <c r="Q13" s="1" t="n"/>
      <c r="R13" s="1" t="n"/>
      <c r="S13" s="1" t="n"/>
      <c r="T13" s="1" t="n"/>
    </row>
    <row r="14">
      <c r="A14" s="1" t="n"/>
      <c r="B14" s="20" t="n"/>
      <c r="C14" s="18" t="n"/>
      <c r="D14" s="28" t="n"/>
      <c r="E14" s="18" t="n"/>
      <c r="F14" s="18" t="n"/>
      <c r="G14" s="29">
        <f>IF(OR(C14="",C14=0),"",IF(D14=0,ROUNDUP(C14/(E14+F14),0),IF((E14+F14)&lt;=C14*D14/12,"Payment too low",ROUNDUP(NPER(D14/12,-(E14+F14),C14),0))))</f>
        <v/>
      </c>
      <c r="H14" s="30">
        <f>IF(ISNUMBER(G14),EDATE(TODAY(),G14),"")</f>
        <v/>
      </c>
      <c r="I14" s="12">
        <f>IF(ISNUMBER(G14),IF(D14=0,0,MAX(0,(E14+F14)*NPER(D14/12,-(E14+F14),C14)-C14)),"")</f>
        <v/>
      </c>
      <c r="J14" s="1" t="n"/>
      <c r="K14" s="1" t="n"/>
      <c r="L14" s="1" t="n"/>
      <c r="M14" s="1" t="n"/>
      <c r="N14" s="1" t="n"/>
      <c r="O14" s="1" t="n"/>
      <c r="P14" s="1" t="n"/>
      <c r="Q14" s="1" t="n"/>
      <c r="R14" s="1" t="n"/>
      <c r="S14" s="1" t="n"/>
      <c r="T14" s="1" t="n"/>
    </row>
    <row r="15">
      <c r="A15" s="1" t="n"/>
      <c r="B15" s="15" t="inlineStr">
        <is>
          <t>TOTAL</t>
        </is>
      </c>
      <c r="C15" s="16">
        <f>SUM(C5:C14)</f>
        <v/>
      </c>
      <c r="D15" s="1" t="n"/>
      <c r="E15" s="16">
        <f>SUM(E5:E14)</f>
        <v/>
      </c>
      <c r="F15" s="16">
        <f>SUM(F5:F14)</f>
        <v/>
      </c>
      <c r="G15" s="31">
        <f>IF(COUNT(G5:G14)=0,"",MAX(G5:G14))</f>
        <v/>
      </c>
      <c r="H15" s="32">
        <f>IF(ISNUMBER(G15),EDATE(TODAY(),G15),"")</f>
        <v/>
      </c>
      <c r="I15" s="16">
        <f>SUM(I5:I14)</f>
        <v/>
      </c>
      <c r="J15" s="1" t="n"/>
      <c r="K15" s="1" t="n"/>
      <c r="L15" s="1" t="n"/>
      <c r="M15" s="1" t="n"/>
      <c r="N15" s="1" t="n"/>
      <c r="O15" s="1" t="n"/>
      <c r="P15" s="1" t="n"/>
      <c r="Q15" s="1" t="n"/>
      <c r="R15" s="1" t="n"/>
      <c r="S15" s="1" t="n"/>
      <c r="T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row>
    <row r="17">
      <c r="A17" s="1" t="n"/>
      <c r="B17" s="33" t="inlineStr">
        <is>
          <t>Tip: put any extra money on the highest-APR debt first (avalanche) to pay the least interest.</t>
        </is>
      </c>
      <c r="C17" s="1" t="n"/>
      <c r="D17" s="1" t="n"/>
      <c r="E17" s="1" t="n"/>
      <c r="F17" s="1" t="n"/>
      <c r="G17" s="1" t="n"/>
      <c r="H17" s="1" t="n"/>
      <c r="I17" s="1" t="n"/>
      <c r="J17" s="1" t="n"/>
      <c r="K17" s="1" t="n"/>
      <c r="L17" s="1" t="n"/>
      <c r="M17" s="1" t="n"/>
      <c r="N17" s="1" t="n"/>
      <c r="O17" s="1" t="n"/>
      <c r="P17" s="1" t="n"/>
      <c r="Q17" s="1" t="n"/>
      <c r="R17" s="1" t="n"/>
      <c r="S17" s="1" t="n"/>
      <c r="T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row>
  </sheetData>
  <pageMargins left="0.75" right="0.75" top="1" bottom="1" header="0.5" footer="0.5"/>
  <pageSetup orientation="landscape" fitToHeight="1" fitToWidth="1"/>
</worksheet>
</file>

<file path=xl/worksheets/sheet7.xml><?xml version="1.0" encoding="utf-8"?>
<worksheet xmlns="http://schemas.openxmlformats.org/spreadsheetml/2006/main">
  <sheetPr>
    <tabColor rgb="002F6B4F"/>
    <outlinePr summaryBelow="1" summaryRight="1"/>
    <pageSetUpPr fitToPage="1"/>
  </sheetPr>
  <dimension ref="A1:T60"/>
  <sheetViews>
    <sheetView showGridLines="0" workbookViewId="0">
      <selection activeCell="A1" sqref="A1"/>
    </sheetView>
  </sheetViews>
  <sheetFormatPr baseColWidth="8" defaultRowHeight="15"/>
  <cols>
    <col width="3" customWidth="1" min="1" max="1"/>
    <col width="24" customWidth="1" min="2" max="2"/>
    <col width="12" customWidth="1" min="3" max="3"/>
    <col width="13"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s>
  <sheetData>
    <row r="1" ht="36" customHeight="1">
      <c r="A1" s="1" t="n"/>
      <c r="B1" s="2" t="inlineStr">
        <is>
          <t>Bill Tracker</t>
        </is>
      </c>
      <c r="C1" s="1" t="n"/>
      <c r="D1" s="1" t="n"/>
      <c r="E1" s="1" t="n"/>
      <c r="F1" s="1" t="n"/>
      <c r="G1" s="1" t="n"/>
      <c r="H1" s="1" t="n"/>
      <c r="I1" s="1" t="n"/>
      <c r="J1" s="1" t="n"/>
      <c r="K1" s="1" t="n"/>
      <c r="L1" s="1" t="n"/>
      <c r="M1" s="1" t="n"/>
      <c r="N1" s="1" t="n"/>
      <c r="O1" s="1" t="n"/>
      <c r="P1" s="1" t="n"/>
      <c r="Q1" s="1" t="n"/>
      <c r="R1" s="1" t="n"/>
      <c r="S1" s="1" t="n"/>
      <c r="T1" s="1" t="n"/>
    </row>
    <row r="2">
      <c r="A2" s="1" t="n"/>
      <c r="B2" s="3" t="inlineStr">
        <is>
          <t>List recurring bills, then type x in each month once paid.</t>
        </is>
      </c>
      <c r="C2" s="1" t="n"/>
      <c r="D2" s="1" t="n"/>
      <c r="E2" s="1" t="n"/>
      <c r="F2" s="1" t="n"/>
      <c r="G2" s="1" t="n"/>
      <c r="H2" s="1" t="n"/>
      <c r="I2" s="1" t="n"/>
      <c r="J2" s="1" t="n"/>
      <c r="K2" s="1" t="n"/>
      <c r="L2" s="1" t="n"/>
      <c r="M2" s="1" t="n"/>
      <c r="N2" s="1" t="n"/>
      <c r="O2" s="1" t="n"/>
      <c r="P2" s="1" t="n"/>
      <c r="Q2" s="1" t="n"/>
      <c r="R2" s="1" t="n"/>
      <c r="S2" s="1" t="n"/>
      <c r="T2" s="1" t="n"/>
    </row>
    <row r="3">
      <c r="A3" s="1" t="n"/>
      <c r="B3" s="1" t="n"/>
      <c r="C3" s="1" t="n"/>
      <c r="D3" s="1" t="n"/>
      <c r="E3" s="1" t="n"/>
      <c r="F3" s="1" t="n"/>
      <c r="G3" s="1" t="n"/>
      <c r="H3" s="1" t="n"/>
      <c r="I3" s="1" t="n"/>
      <c r="J3" s="1" t="n"/>
      <c r="K3" s="1" t="n"/>
      <c r="L3" s="1" t="n"/>
      <c r="M3" s="1" t="n"/>
      <c r="N3" s="1" t="n"/>
      <c r="O3" s="1" t="n"/>
      <c r="P3" s="1" t="n"/>
      <c r="Q3" s="1" t="n"/>
      <c r="R3" s="1" t="n"/>
      <c r="S3" s="1" t="n"/>
      <c r="T3" s="1" t="n"/>
    </row>
    <row r="4" ht="22" customHeight="1">
      <c r="A4" s="1" t="n"/>
      <c r="B4" s="10" t="inlineStr">
        <is>
          <t>Bill</t>
        </is>
      </c>
      <c r="C4" s="10" t="inlineStr">
        <is>
          <t>Due day</t>
        </is>
      </c>
      <c r="D4" s="10" t="inlineStr">
        <is>
          <t>Amount</t>
        </is>
      </c>
      <c r="E4" s="10" t="inlineStr">
        <is>
          <t>Jan</t>
        </is>
      </c>
      <c r="F4" s="10" t="inlineStr">
        <is>
          <t>Feb</t>
        </is>
      </c>
      <c r="G4" s="10" t="inlineStr">
        <is>
          <t>Mar</t>
        </is>
      </c>
      <c r="H4" s="10" t="inlineStr">
        <is>
          <t>Apr</t>
        </is>
      </c>
      <c r="I4" s="10" t="inlineStr">
        <is>
          <t>May</t>
        </is>
      </c>
      <c r="J4" s="10" t="inlineStr">
        <is>
          <t>Jun</t>
        </is>
      </c>
      <c r="K4" s="10" t="inlineStr">
        <is>
          <t>Jul</t>
        </is>
      </c>
      <c r="L4" s="10" t="inlineStr">
        <is>
          <t>Aug</t>
        </is>
      </c>
      <c r="M4" s="10" t="inlineStr">
        <is>
          <t>Sep</t>
        </is>
      </c>
      <c r="N4" s="10" t="inlineStr">
        <is>
          <t>Oct</t>
        </is>
      </c>
      <c r="O4" s="10" t="inlineStr">
        <is>
          <t>Nov</t>
        </is>
      </c>
      <c r="P4" s="10" t="inlineStr">
        <is>
          <t>Dec</t>
        </is>
      </c>
      <c r="Q4" s="1" t="n"/>
      <c r="R4" s="1" t="n"/>
      <c r="S4" s="1" t="n"/>
      <c r="T4" s="1" t="n"/>
    </row>
    <row r="5">
      <c r="A5" s="1" t="n"/>
      <c r="B5" s="34" t="inlineStr">
        <is>
          <t>Rent</t>
        </is>
      </c>
      <c r="C5" s="34" t="n">
        <v>1</v>
      </c>
      <c r="D5" s="35" t="n">
        <v>1200</v>
      </c>
      <c r="E5" s="36" t="n"/>
      <c r="F5" s="36" t="n"/>
      <c r="G5" s="36" t="n"/>
      <c r="H5" s="36" t="n"/>
      <c r="I5" s="36" t="n"/>
      <c r="J5" s="36" t="n"/>
      <c r="K5" s="36" t="n"/>
      <c r="L5" s="36" t="n"/>
      <c r="M5" s="36" t="n"/>
      <c r="N5" s="36" t="n"/>
      <c r="O5" s="36" t="n"/>
      <c r="P5" s="36" t="n"/>
      <c r="Q5" s="1" t="n"/>
      <c r="R5" s="1" t="n"/>
      <c r="S5" s="1" t="n"/>
      <c r="T5" s="1" t="n"/>
    </row>
    <row r="6">
      <c r="A6" s="1" t="n"/>
      <c r="B6" s="34" t="inlineStr">
        <is>
          <t>Electric</t>
        </is>
      </c>
      <c r="C6" s="34" t="n">
        <v>15</v>
      </c>
      <c r="D6" s="35" t="n">
        <v>90</v>
      </c>
      <c r="E6" s="36" t="n"/>
      <c r="F6" s="36" t="n"/>
      <c r="G6" s="36" t="n"/>
      <c r="H6" s="36" t="n"/>
      <c r="I6" s="36" t="n"/>
      <c r="J6" s="36" t="n"/>
      <c r="K6" s="36" t="n"/>
      <c r="L6" s="36" t="n"/>
      <c r="M6" s="36" t="n"/>
      <c r="N6" s="36" t="n"/>
      <c r="O6" s="36" t="n"/>
      <c r="P6" s="36" t="n"/>
      <c r="Q6" s="1" t="n"/>
      <c r="R6" s="1" t="n"/>
      <c r="S6" s="1" t="n"/>
      <c r="T6" s="1" t="n"/>
    </row>
    <row r="7">
      <c r="A7" s="1" t="n"/>
      <c r="B7" s="34" t="inlineStr">
        <is>
          <t>Phone</t>
        </is>
      </c>
      <c r="C7" s="34" t="n">
        <v>20</v>
      </c>
      <c r="D7" s="35" t="n">
        <v>55</v>
      </c>
      <c r="E7" s="36" t="n"/>
      <c r="F7" s="36" t="n"/>
      <c r="G7" s="36" t="n"/>
      <c r="H7" s="36" t="n"/>
      <c r="I7" s="36" t="n"/>
      <c r="J7" s="36" t="n"/>
      <c r="K7" s="36" t="n"/>
      <c r="L7" s="36" t="n"/>
      <c r="M7" s="36" t="n"/>
      <c r="N7" s="36" t="n"/>
      <c r="O7" s="36" t="n"/>
      <c r="P7" s="36" t="n"/>
      <c r="Q7" s="1" t="n"/>
      <c r="R7" s="1" t="n"/>
      <c r="S7" s="1" t="n"/>
      <c r="T7" s="1" t="n"/>
    </row>
    <row r="8">
      <c r="A8" s="1" t="n"/>
      <c r="B8" s="34" t="inlineStr">
        <is>
          <t>Streaming</t>
        </is>
      </c>
      <c r="C8" s="34" t="n">
        <v>3</v>
      </c>
      <c r="D8" s="35" t="n">
        <v>15.99</v>
      </c>
      <c r="E8" s="36" t="n"/>
      <c r="F8" s="36" t="n"/>
      <c r="G8" s="36" t="n"/>
      <c r="H8" s="36" t="n"/>
      <c r="I8" s="36" t="n"/>
      <c r="J8" s="36" t="n"/>
      <c r="K8" s="36" t="n"/>
      <c r="L8" s="36" t="n"/>
      <c r="M8" s="36" t="n"/>
      <c r="N8" s="36" t="n"/>
      <c r="O8" s="36" t="n"/>
      <c r="P8" s="36" t="n"/>
      <c r="Q8" s="1" t="n"/>
      <c r="R8" s="1" t="n"/>
      <c r="S8" s="1" t="n"/>
      <c r="T8" s="1" t="n"/>
    </row>
    <row r="9">
      <c r="A9" s="1" t="n"/>
      <c r="B9" s="34" t="n"/>
      <c r="C9" s="34" t="n"/>
      <c r="D9" s="35" t="n"/>
      <c r="E9" s="36" t="n"/>
      <c r="F9" s="36" t="n"/>
      <c r="G9" s="36" t="n"/>
      <c r="H9" s="36" t="n"/>
      <c r="I9" s="36" t="n"/>
      <c r="J9" s="36" t="n"/>
      <c r="K9" s="36" t="n"/>
      <c r="L9" s="36" t="n"/>
      <c r="M9" s="36" t="n"/>
      <c r="N9" s="36" t="n"/>
      <c r="O9" s="36" t="n"/>
      <c r="P9" s="36" t="n"/>
      <c r="Q9" s="1" t="n"/>
      <c r="R9" s="1" t="n"/>
      <c r="S9" s="1" t="n"/>
      <c r="T9" s="1" t="n"/>
    </row>
    <row r="10">
      <c r="A10" s="1" t="n"/>
      <c r="B10" s="34" t="n"/>
      <c r="C10" s="34" t="n"/>
      <c r="D10" s="35" t="n"/>
      <c r="E10" s="36" t="n"/>
      <c r="F10" s="36" t="n"/>
      <c r="G10" s="36" t="n"/>
      <c r="H10" s="36" t="n"/>
      <c r="I10" s="36" t="n"/>
      <c r="J10" s="36" t="n"/>
      <c r="K10" s="36" t="n"/>
      <c r="L10" s="36" t="n"/>
      <c r="M10" s="36" t="n"/>
      <c r="N10" s="36" t="n"/>
      <c r="O10" s="36" t="n"/>
      <c r="P10" s="36" t="n"/>
      <c r="Q10" s="1" t="n"/>
      <c r="R10" s="1" t="n"/>
      <c r="S10" s="1" t="n"/>
      <c r="T10" s="1" t="n"/>
    </row>
    <row r="11">
      <c r="A11" s="1" t="n"/>
      <c r="B11" s="34" t="n"/>
      <c r="C11" s="34" t="n"/>
      <c r="D11" s="35" t="n"/>
      <c r="E11" s="36" t="n"/>
      <c r="F11" s="36" t="n"/>
      <c r="G11" s="36" t="n"/>
      <c r="H11" s="36" t="n"/>
      <c r="I11" s="36" t="n"/>
      <c r="J11" s="36" t="n"/>
      <c r="K11" s="36" t="n"/>
      <c r="L11" s="36" t="n"/>
      <c r="M11" s="36" t="n"/>
      <c r="N11" s="36" t="n"/>
      <c r="O11" s="36" t="n"/>
      <c r="P11" s="36" t="n"/>
      <c r="Q11" s="1" t="n"/>
      <c r="R11" s="1" t="n"/>
      <c r="S11" s="1" t="n"/>
      <c r="T11" s="1" t="n"/>
    </row>
    <row r="12">
      <c r="A12" s="1" t="n"/>
      <c r="B12" s="34" t="n"/>
      <c r="C12" s="34" t="n"/>
      <c r="D12" s="35" t="n"/>
      <c r="E12" s="36" t="n"/>
      <c r="F12" s="36" t="n"/>
      <c r="G12" s="36" t="n"/>
      <c r="H12" s="36" t="n"/>
      <c r="I12" s="36" t="n"/>
      <c r="J12" s="36" t="n"/>
      <c r="K12" s="36" t="n"/>
      <c r="L12" s="36" t="n"/>
      <c r="M12" s="36" t="n"/>
      <c r="N12" s="36" t="n"/>
      <c r="O12" s="36" t="n"/>
      <c r="P12" s="36" t="n"/>
      <c r="Q12" s="1" t="n"/>
      <c r="R12" s="1" t="n"/>
      <c r="S12" s="1" t="n"/>
      <c r="T12" s="1" t="n"/>
    </row>
    <row r="13">
      <c r="A13" s="1" t="n"/>
      <c r="B13" s="34" t="n"/>
      <c r="C13" s="34" t="n"/>
      <c r="D13" s="35" t="n"/>
      <c r="E13" s="36" t="n"/>
      <c r="F13" s="36" t="n"/>
      <c r="G13" s="36" t="n"/>
      <c r="H13" s="36" t="n"/>
      <c r="I13" s="36" t="n"/>
      <c r="J13" s="36" t="n"/>
      <c r="K13" s="36" t="n"/>
      <c r="L13" s="36" t="n"/>
      <c r="M13" s="36" t="n"/>
      <c r="N13" s="36" t="n"/>
      <c r="O13" s="36" t="n"/>
      <c r="P13" s="36" t="n"/>
      <c r="Q13" s="1" t="n"/>
      <c r="R13" s="1" t="n"/>
      <c r="S13" s="1" t="n"/>
      <c r="T13" s="1" t="n"/>
    </row>
    <row r="14">
      <c r="A14" s="1" t="n"/>
      <c r="B14" s="34" t="n"/>
      <c r="C14" s="34" t="n"/>
      <c r="D14" s="35" t="n"/>
      <c r="E14" s="36" t="n"/>
      <c r="F14" s="36" t="n"/>
      <c r="G14" s="36" t="n"/>
      <c r="H14" s="36" t="n"/>
      <c r="I14" s="36" t="n"/>
      <c r="J14" s="36" t="n"/>
      <c r="K14" s="36" t="n"/>
      <c r="L14" s="36" t="n"/>
      <c r="M14" s="36" t="n"/>
      <c r="N14" s="36" t="n"/>
      <c r="O14" s="36" t="n"/>
      <c r="P14" s="36" t="n"/>
      <c r="Q14" s="1" t="n"/>
      <c r="R14" s="1" t="n"/>
      <c r="S14" s="1" t="n"/>
      <c r="T14" s="1" t="n"/>
    </row>
    <row r="15">
      <c r="A15" s="1" t="n"/>
      <c r="B15" s="34" t="n"/>
      <c r="C15" s="34" t="n"/>
      <c r="D15" s="35" t="n"/>
      <c r="E15" s="36" t="n"/>
      <c r="F15" s="36" t="n"/>
      <c r="G15" s="36" t="n"/>
      <c r="H15" s="36" t="n"/>
      <c r="I15" s="36" t="n"/>
      <c r="J15" s="36" t="n"/>
      <c r="K15" s="36" t="n"/>
      <c r="L15" s="36" t="n"/>
      <c r="M15" s="36" t="n"/>
      <c r="N15" s="36" t="n"/>
      <c r="O15" s="36" t="n"/>
      <c r="P15" s="36" t="n"/>
      <c r="Q15" s="1" t="n"/>
      <c r="R15" s="1" t="n"/>
      <c r="S15" s="1" t="n"/>
      <c r="T15" s="1" t="n"/>
    </row>
    <row r="16">
      <c r="A16" s="1" t="n"/>
      <c r="B16" s="34" t="n"/>
      <c r="C16" s="34" t="n"/>
      <c r="D16" s="35" t="n"/>
      <c r="E16" s="36" t="n"/>
      <c r="F16" s="36" t="n"/>
      <c r="G16" s="36" t="n"/>
      <c r="H16" s="36" t="n"/>
      <c r="I16" s="36" t="n"/>
      <c r="J16" s="36" t="n"/>
      <c r="K16" s="36" t="n"/>
      <c r="L16" s="36" t="n"/>
      <c r="M16" s="36" t="n"/>
      <c r="N16" s="36" t="n"/>
      <c r="O16" s="36" t="n"/>
      <c r="P16" s="36" t="n"/>
      <c r="Q16" s="1" t="n"/>
      <c r="R16" s="1" t="n"/>
      <c r="S16" s="1" t="n"/>
      <c r="T16" s="1" t="n"/>
    </row>
    <row r="17">
      <c r="A17" s="1" t="n"/>
      <c r="B17" s="34" t="n"/>
      <c r="C17" s="34" t="n"/>
      <c r="D17" s="35" t="n"/>
      <c r="E17" s="36" t="n"/>
      <c r="F17" s="36" t="n"/>
      <c r="G17" s="36" t="n"/>
      <c r="H17" s="36" t="n"/>
      <c r="I17" s="36" t="n"/>
      <c r="J17" s="36" t="n"/>
      <c r="K17" s="36" t="n"/>
      <c r="L17" s="36" t="n"/>
      <c r="M17" s="36" t="n"/>
      <c r="N17" s="36" t="n"/>
      <c r="O17" s="36" t="n"/>
      <c r="P17" s="36" t="n"/>
      <c r="Q17" s="1" t="n"/>
      <c r="R17" s="1" t="n"/>
      <c r="S17" s="1" t="n"/>
      <c r="T17" s="1" t="n"/>
    </row>
    <row r="18">
      <c r="A18" s="1" t="n"/>
      <c r="B18" s="34" t="n"/>
      <c r="C18" s="34" t="n"/>
      <c r="D18" s="35" t="n"/>
      <c r="E18" s="36" t="n"/>
      <c r="F18" s="36" t="n"/>
      <c r="G18" s="36" t="n"/>
      <c r="H18" s="36" t="n"/>
      <c r="I18" s="36" t="n"/>
      <c r="J18" s="36" t="n"/>
      <c r="K18" s="36" t="n"/>
      <c r="L18" s="36" t="n"/>
      <c r="M18" s="36" t="n"/>
      <c r="N18" s="36" t="n"/>
      <c r="O18" s="36" t="n"/>
      <c r="P18" s="36" t="n"/>
      <c r="Q18" s="1" t="n"/>
      <c r="R18" s="1" t="n"/>
      <c r="S18" s="1" t="n"/>
      <c r="T18" s="1" t="n"/>
    </row>
    <row r="19">
      <c r="A19" s="1" t="n"/>
      <c r="B19" s="34" t="n"/>
      <c r="C19" s="34" t="n"/>
      <c r="D19" s="35" t="n"/>
      <c r="E19" s="36" t="n"/>
      <c r="F19" s="36" t="n"/>
      <c r="G19" s="36" t="n"/>
      <c r="H19" s="36" t="n"/>
      <c r="I19" s="36" t="n"/>
      <c r="J19" s="36" t="n"/>
      <c r="K19" s="36" t="n"/>
      <c r="L19" s="36" t="n"/>
      <c r="M19" s="36" t="n"/>
      <c r="N19" s="36" t="n"/>
      <c r="O19" s="36" t="n"/>
      <c r="P19" s="36" t="n"/>
      <c r="Q19" s="1" t="n"/>
      <c r="R19" s="1" t="n"/>
      <c r="S19" s="1" t="n"/>
      <c r="T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row>
  </sheetData>
  <conditionalFormatting sqref="E5:P19">
    <cfRule type="cellIs" priority="1" operator="equal" dxfId="3">
      <formula>"x"</formula>
    </cfRule>
  </conditionalFormatting>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2026-10-06T18:35:17Z</dcterms:created>
  <dcterms:modified xmlns:dcterms="http://purl.org/dc/terms/" xmlns:xsi="http://www.w3.org/2001/XMLSchema-instance" xsi:type="dcterms:W3CDTF">2026-10-06T18:35:18Z</dcterms:modified>
</cp:coreProperties>
</file>